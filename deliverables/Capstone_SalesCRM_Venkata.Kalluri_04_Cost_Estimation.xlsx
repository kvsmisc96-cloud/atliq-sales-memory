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Model Prices" sheetId="3" state="visible" r:id="rId5"/>
    <sheet name="Token Usage" sheetId="4" state="visible" r:id="rId6"/>
    <sheet name="Infrastructure" sheetId="5" state="visible" r:id="rId7"/>
    <sheet name="Value &amp; ROI" sheetId="6" state="visible" r:id="rId8"/>
    <sheet name="Scenarios" sheetId="7" state="visible" r:id="rId9"/>
    <sheet name="Scope Decis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<sst xmlns="http://schemas.openxmlformats.org/spreadsheetml/2006/main" count="320" uniqueCount="284">
  <si>
    <t xml:space="preserve">AtliQ Sales Memory Assistant: cost estimate</t>
  </si>
  <si>
    <t xml:space="preserve">Monthly cost to run the assistant for 3 founders + Jay (base case). Change blue cells on the Assumptions sheet; everything here updates.</t>
  </si>
  <si>
    <t xml:space="preserve">Metric</t>
  </si>
  <si>
    <t xml:space="preserve">Value</t>
  </si>
  <si>
    <t xml:space="preserve">What it means</t>
  </si>
  <si>
    <t xml:space="preserve">AI model cost per month</t>
  </si>
  <si>
    <t xml:space="preserve">Haiku 5.5 for reading + Sonnet 5.5 for drafts (Token Usage sheet).</t>
  </si>
  <si>
    <t xml:space="preserve">Infrastructure per month</t>
  </si>
  <si>
    <t xml:space="preserve">Hosting, database, email sending, monitoring (Infrastructure sheet).</t>
  </si>
  <si>
    <t xml:space="preserve">Running cost per month (AI + infrastructure)</t>
  </si>
  <si>
    <t xml:space="preserve">What it costs to keep the assistant switched on.</t>
  </si>
  <si>
    <t xml:space="preserve">Maintenance and weekly checks per month</t>
  </si>
  <si>
    <t xml:space="preserve">Developer upkeep + Jay's 30-minute weekly check.</t>
  </si>
  <si>
    <t xml:space="preserve">Total monthly cost</t>
  </si>
  <si>
    <t xml:space="preserve">Running cost + people upkeep.</t>
  </si>
  <si>
    <t xml:space="preserve">One-time build cost</t>
  </si>
  <si>
    <t xml:space="preserve">180 developer hours (build + eval set).</t>
  </si>
  <si>
    <t xml:space="preserve">First-year cost</t>
  </si>
  <si>
    <t xml:space="preserve">Build + 12 months.</t>
  </si>
  <si>
    <t xml:space="preserve">Cost per founder per month</t>
  </si>
  <si>
    <t xml:space="preserve">Total monthly cost ÷ founders.</t>
  </si>
  <si>
    <t xml:space="preserve">AI cost per email processed</t>
  </si>
  <si>
    <t xml:space="preserve">AI bill ÷ all emails and notes in the month.</t>
  </si>
  <si>
    <t xml:space="preserve">AI cost per draft reply</t>
  </si>
  <si>
    <t xml:space="preserve">One Sonnet 5.5 draft, including thinking.</t>
  </si>
  <si>
    <t xml:space="preserve">Tokens per month</t>
  </si>
  <si>
    <t xml:space="preserve">All tasks, cached + fresh + answer + thinking.</t>
  </si>
  <si>
    <t xml:space="preserve">AI share of total monthly cost</t>
  </si>
  <si>
    <t xml:space="preserve">Shows where the money really goes.</t>
  </si>
  <si>
    <t xml:space="preserve">Cost per follow-up actioned on time (North Star)</t>
  </si>
  <si>
    <t xml:space="preserve">Monthly cost ÷ follow-ups done on time at the 80% target.</t>
  </si>
  <si>
    <t xml:space="preserve">Time value created per month</t>
  </si>
  <si>
    <t xml:space="preserve">Founder and Jay hours saved (Value &amp; ROI sheet).</t>
  </si>
  <si>
    <t xml:space="preserve">Payback of build cost (time savings only)</t>
  </si>
  <si>
    <t xml:space="preserve">Pipeline upside (USD 200k revived) not counted.</t>
  </si>
  <si>
    <t xml:space="preserve">If every step used Opus 5.5 instead</t>
  </si>
  <si>
    <t xml:space="preserve">AI cost per month with the most capable Opus everywhere.</t>
  </si>
  <si>
    <t xml:space="preserve">Key takeaways</t>
  </si>
  <si>
    <t xml:space="preserve">Legend: blue text = input you can change · black = formula · green = linked from another sheet · yellow fill = key assumption.</t>
  </si>
  <si>
    <t xml:space="preserve">Assumptions: volumes, sizes and rates</t>
  </si>
  <si>
    <t xml:space="preserve">Blue = input you can change. Yellow = key assumption. Every other sheet recalculates from these cells.</t>
  </si>
  <si>
    <t xml:space="preserve">Assumption</t>
  </si>
  <si>
    <t xml:space="preserve">Unit</t>
  </si>
  <si>
    <t xml:space="preserve">Why this number / source</t>
  </si>
  <si>
    <t xml:space="preserve">Team and calendar</t>
  </si>
  <si>
    <t xml:space="preserve">Working days per month</t>
  </si>
  <si>
    <t xml:space="preserve">days</t>
  </si>
  <si>
    <t xml:space="preserve">Mon–Fri, about 22 a month.</t>
  </si>
  <si>
    <t xml:space="preserve">Founder-sellers using the daily brief</t>
  </si>
  <si>
    <t xml:space="preserve">people</t>
  </si>
  <si>
    <t xml:space="preserve">Bhavin, Dhaval, Karandeep (dataset). Jay also gets a CRM-fix brief.</t>
  </si>
  <si>
    <t xml:space="preserve">Volumes (base case)</t>
  </si>
  <si>
    <t xml:space="preserve">Emails in the sales mailbox per day (in + out)</t>
  </si>
  <si>
    <t xml:space="preserve">emails/day</t>
  </si>
  <si>
    <t xml:space="preserve">Assumption: ~20 sales emails a day per founder. The dataset is a sample of ~50 key threads, not the full mailbox.</t>
  </si>
  <si>
    <t xml:space="preserve">Meeting notes per day</t>
  </si>
  <si>
    <t xml:space="preserve">notes/day</t>
  </si>
  <si>
    <t xml:space="preserve">Assumption: 1–2 client meetings per founder per day; about 4 notes get written up.</t>
  </si>
  <si>
    <t xml:space="preserve">Share removed by free rules before AI (newsletters, auto-replies, internal)</t>
  </si>
  <si>
    <t xml:space="preserve">% of items</t>
  </si>
  <si>
    <t xml:space="preserve">Plain sender/folder rules cost nothing; only the rest reaches the AI.</t>
  </si>
  <si>
    <t xml:space="preserve">Share of triaged items that need extraction (real sales content)</t>
  </si>
  <si>
    <t xml:space="preserve">% of triaged</t>
  </si>
  <si>
    <t xml:space="preserve">Assumption: half the sales folder is routine (scheduling, thanks, FYI).</t>
  </si>
  <si>
    <t xml:space="preserve">Share of extracted items needing an AI match check (close-call company names)</t>
  </si>
  <si>
    <t xml:space="preserve">% of extracted</t>
  </si>
  <si>
    <t xml:space="preserve">Most items match the CRM by exact name or email domain; AI only checks the unclear ones.</t>
  </si>
  <si>
    <t xml:space="preserve">Draft replies per founder per day</t>
  </si>
  <si>
    <t xml:space="preserve">drafts/day</t>
  </si>
  <si>
    <t xml:space="preserve">Brief is capped at 7 items; on an average day ~5 need a reply draft.</t>
  </si>
  <si>
    <t xml:space="preserve">Redraft rate (founder asks for a new version)</t>
  </si>
  <si>
    <t xml:space="preserve">% of drafts</t>
  </si>
  <si>
    <t xml:space="preserve">Assumption: 1 in 5 drafts gets regenerated.</t>
  </si>
  <si>
    <t xml:space="preserve">Quality-check sample per week (AI judge for groundedness)</t>
  </si>
  <si>
    <t xml:space="preserve">items/week</t>
  </si>
  <si>
    <t xml:space="preserve">From the PRD: weekly sample of 20 items to check facts against sources.</t>
  </si>
  <si>
    <t xml:space="preserve">Text size (measured from the dataset)</t>
  </si>
  <si>
    <t xml:space="preserve">Average words per email or note</t>
  </si>
  <si>
    <t xml:space="preserve">words</t>
  </si>
  <si>
    <t xml:space="preserve">Measured: 51 dataset files, 6,470 words, average 127 (median 123, max 524).</t>
  </si>
  <si>
    <t xml:space="preserve">Thread multiplier (earlier replies quoted in the thread)</t>
  </si>
  <si>
    <t xml:space="preserve">x</t>
  </si>
  <si>
    <t xml:space="preserve">Assumption: a real thread carries ~2 earlier messages along with the new one.</t>
  </si>
  <si>
    <t xml:space="preserve">Tokens per word</t>
  </si>
  <si>
    <t xml:space="preserve">tokens/word</t>
  </si>
  <si>
    <t xml:space="preserve">Rule of thumb: 1 token ≈ ¾ of a word for English text.</t>
  </si>
  <si>
    <t xml:space="preserve">CRM context sent with each extraction or draft</t>
  </si>
  <si>
    <t xml:space="preserve">tokens</t>
  </si>
  <si>
    <t xml:space="preserve">The CRM export is ~5.8 KB for 40 records (~1,500 tokens); we send only the 2–3 likely matching records.</t>
  </si>
  <si>
    <t xml:space="preserve">Cost levers</t>
  </si>
  <si>
    <t xml:space="preserve">Share of cached prompt tokens billed as a cache write</t>
  </si>
  <si>
    <t xml:space="preserve">% of cached</t>
  </si>
  <si>
    <t xml:space="preserve">Fixed instructions are cached; the cache is re-written a few times a day (write = 1.25x input price).</t>
  </si>
  <si>
    <t xml:space="preserve">Use the Batch API for background steps? (Yes / No)</t>
  </si>
  <si>
    <t xml:space="preserve">No</t>
  </si>
  <si>
    <t xml:space="preserve">Yes/No</t>
  </si>
  <si>
    <t xml:space="preserve">Batch API is 50% cheaper but results can take longer to return. Off by default so the brief always uses fresh email; see Scenarios for the saving.</t>
  </si>
  <si>
    <t xml:space="preserve">Monthly AI spend alert threshold</t>
  </si>
  <si>
    <t xml:space="preserve">USD/month</t>
  </si>
  <si>
    <t xml:space="preserve">Alert the team if AI spend passes this; well above the base estimate, so it only fires on a bug or a volume spike.</t>
  </si>
  <si>
    <t xml:space="preserve">People cost rates (for build, maintenance and value)</t>
  </si>
  <si>
    <t xml:space="preserve">Developer cost per hour</t>
  </si>
  <si>
    <t xml:space="preserve">USD/hour</t>
  </si>
  <si>
    <t xml:space="preserve">Assumption: contract developer rate. Change to your real rate.</t>
  </si>
  <si>
    <t xml:space="preserve">Value of one founder hour</t>
  </si>
  <si>
    <t xml:space="preserve">Assumption: opportunity cost of founder selling time.</t>
  </si>
  <si>
    <t xml:space="preserve">Sales ops (Jay) cost per hour</t>
  </si>
  <si>
    <t xml:space="preserve">Assumption.</t>
  </si>
  <si>
    <t xml:space="preserve">Model prices (Anthropic API, USD per 1 million tokens)</t>
  </si>
  <si>
    <t xml:space="preserve">Source: Anthropic API list prices as of October 2026 (first-party API). Update if prices change.</t>
  </si>
  <si>
    <t xml:space="preserve">Model</t>
  </si>
  <si>
    <t xml:space="preserve">Input</t>
  </si>
  <si>
    <t xml:space="preserve">Output</t>
  </si>
  <si>
    <t xml:space="preserve">Cache read</t>
  </si>
  <si>
    <t xml:space="preserve">Best used for</t>
  </si>
  <si>
    <t xml:space="preserve">Note</t>
  </si>
  <si>
    <t xml:space="preserve">Claude Haiku 5.5</t>
  </si>
  <si>
    <t xml:space="preserve">High-volume reading: triage, extraction, match checks</t>
  </si>
  <si>
    <t xml:space="preserve">Price for prompts up to 100K tokens. Cache-read price assumed at 10% of input (standard ratio); not confirmed.</t>
  </si>
  <si>
    <t xml:space="preserve">Claude Sonnet 5.5</t>
  </si>
  <si>
    <t xml:space="preserve">Writing that a founder reads: draft replies, quality judge</t>
  </si>
  <si>
    <t xml:space="preserve">Cache read $0.20 per 1M.</t>
  </si>
  <si>
    <t xml:space="preserve">Claude Opus 5.5</t>
  </si>
  <si>
    <t xml:space="preserve">Comparison only (most capable Opus)</t>
  </si>
  <si>
    <t xml:space="preserve">Cache read $0.20 per 1M. Used in Scenarios to show the cost of "best model everywhere".</t>
  </si>
  <si>
    <t xml:space="preserve">Batch API discount</t>
  </si>
  <si>
    <t xml:space="preserve">Background jobs sent through the Batch API are billed at 50% of the normal price.</t>
  </si>
  <si>
    <t xml:space="preserve">Cache write premium</t>
  </si>
  <si>
    <t xml:space="preserve">Writing a prompt into the cache costs 1.25x the normal input price; reading it back costs the cache-read price.</t>
  </si>
  <si>
    <t xml:space="preserve">Thinking tokens</t>
  </si>
  <si>
    <t xml:space="preserve">These models think before answering. Thinking tokens are billed as output tokens, so the Token Usage sheet counts them separately. We run triage and extraction at low effort to keep thinking short.</t>
  </si>
  <si>
    <t xml:space="preserve">Token usage and model cost per AI task</t>
  </si>
  <si>
    <t xml:space="preserve">One row per AI call type. Calls per day come from Assumptions; tokens per call are estimates (blue). Cost columns are formulas.</t>
  </si>
  <si>
    <t xml:space="preserve">AI task</t>
  </si>
  <si>
    <t xml:space="preserve">Feature</t>
  </si>
  <si>
    <t xml:space="preserve">Model (pick)</t>
  </si>
  <si>
    <t xml:space="preserve">Calls per day</t>
  </si>
  <si>
    <t xml:space="preserve">Cached prompt tokens</t>
  </si>
  <si>
    <t xml:space="preserve">Fresh input tokens</t>
  </si>
  <si>
    <t xml:space="preserve">Answer tokens</t>
  </si>
  <si>
    <t xml:space="preserve">Batch-eligible?</t>
  </si>
  <si>
    <t xml:space="preserve">Cost per call</t>
  </si>
  <si>
    <t xml:space="preserve">Cost per day</t>
  </si>
  <si>
    <t xml:space="preserve">Cost per month</t>
  </si>
  <si>
    <t xml:space="preserve">Month if all Sonnet 5.5</t>
  </si>
  <si>
    <t xml:space="preserve">Month if all Opus 5.5</t>
  </si>
  <si>
    <t xml:space="preserve">Month if all Haiku 5.5</t>
  </si>
  <si>
    <t xml:space="preserve">What goes in / why this size</t>
  </si>
  <si>
    <t xml:space="preserve">1. Triage</t>
  </si>
  <si>
    <t xml:space="preserve">All</t>
  </si>
  <si>
    <t xml:space="preserve">Yes</t>
  </si>
  <si>
    <t xml:space="preserve">Is this email sales-related and does it need action? Instructions are cached; the new email (~170 tokens) + sender details are fresh. Output is a short label.</t>
  </si>
  <si>
    <t xml:space="preserve">2. Extract facts + source quote</t>
  </si>
  <si>
    <t xml:space="preserve">F1, F2, F3, F4</t>
  </si>
  <si>
    <t xml:space="preserve">Pulls out leads, promises, questions, dates, each with its quote. Cached: instructions, output format, 3 examples. Fresh: the thread and 2–3 matching CRM records.</t>
  </si>
  <si>
    <t xml:space="preserve">3. CRM match check</t>
  </si>
  <si>
    <t xml:space="preserve">F1</t>
  </si>
  <si>
    <t xml:space="preserve">Only for close calls (e.g. Meridian L-1003 vs L-1027). Compares the item with candidate records.</t>
  </si>
  <si>
    <t xml:space="preserve">4. Brief intro line</t>
  </si>
  <si>
    <t xml:space="preserve">F5</t>
  </si>
  <si>
    <t xml:space="preserve">One short opening summary per person (founders + Jay). Ranking itself is plain rules, not AI.</t>
  </si>
  <si>
    <t xml:space="preserve">5. Draft reply</t>
  </si>
  <si>
    <t xml:space="preserve">Written in the founder's tone. Cached: instructions + sample past emails for style. Fresh: thread, CRM facts, the item. Medium effort, so more thinking.</t>
  </si>
  <si>
    <t xml:space="preserve">6. Weekly quality judge</t>
  </si>
  <si>
    <t xml:space="preserve">Evals</t>
  </si>
  <si>
    <t xml:space="preserve">Checks a sample of extracted facts against their source sentence (groundedness and made-up facts).</t>
  </si>
  <si>
    <t xml:space="preserve">Total</t>
  </si>
  <si>
    <t xml:space="preserve">M–O show the same workload if every task used one model, to compare strategies.</t>
  </si>
  <si>
    <t xml:space="preserve">Tokens per month (all tasks)</t>
  </si>
  <si>
    <t xml:space="preserve">tokens / month, cached + fresh + answer + thinking</t>
  </si>
  <si>
    <t xml:space="preserve">Infrastructure and people costs</t>
  </si>
  <si>
    <t xml:space="preserve">Monthly running costs and one-time build effort. All values are assumptions (blue) for a small team.</t>
  </si>
  <si>
    <t xml:space="preserve">Item</t>
  </si>
  <si>
    <t xml:space="preserve">Monthly (USD)</t>
  </si>
  <si>
    <t xml:space="preserve">One-time (USD)</t>
  </si>
  <si>
    <t xml:space="preserve">Notes</t>
  </si>
  <si>
    <t xml:space="preserve">Running infrastructure</t>
  </si>
  <si>
    <t xml:space="preserve">App hosting (small container / serverless jobs every 2 hours)</t>
  </si>
  <si>
    <t xml:space="preserve">Runs the read–extract–brief pipeline and the web view. Low traffic: 4 users.</t>
  </si>
  <si>
    <t xml:space="preserve">Database (small managed Postgres)</t>
  </si>
  <si>
    <t xml:space="preserve">Stores items, tasks, drafts, audit log (kept 12 months).</t>
  </si>
  <si>
    <t xml:space="preserve">Email access (shared mailbox API)</t>
  </si>
  <si>
    <t xml:space="preserve">Uses the existing Google Workspace / Microsoft 365 plan; no extra licence.</t>
  </si>
  <si>
    <t xml:space="preserve">CRM connection</t>
  </si>
  <si>
    <t xml:space="preserve">Uses the existing CRM API or CSV import; no extra licence assumed.</t>
  </si>
  <si>
    <t xml:space="preserve">Sending the daily brief (transactional email service)</t>
  </si>
  <si>
    <t xml:space="preserve">~100 emails a month; entry-level plan.</t>
  </si>
  <si>
    <t xml:space="preserve">Logging, monitoring and cost alerts</t>
  </si>
  <si>
    <t xml:space="preserve">Error alerts and the monthly AI spend alert.</t>
  </si>
  <si>
    <t xml:space="preserve">Backups and file storage</t>
  </si>
  <si>
    <t xml:space="preserve">Database backups.</t>
  </si>
  <si>
    <t xml:space="preserve">People</t>
  </si>
  <si>
    <t xml:space="preserve">Build: pipeline, prompts, brief, CRM write-back</t>
  </si>
  <si>
    <t xml:space="preserve">160 developer hours (about 4 weeks for one developer), from the PRD rollout plan.</t>
  </si>
  <si>
    <t xml:space="preserve">Build: evaluation set from the dataset</t>
  </si>
  <si>
    <t xml:space="preserve">20 hours to label the test cases (missing leads, ByteBridge, FinEdge, Meridian duplicate).</t>
  </si>
  <si>
    <t xml:space="preserve">Maintenance: prompt tuning, fixes, model updates</t>
  </si>
  <si>
    <t xml:space="preserve">8 developer hours a month.</t>
  </si>
  <si>
    <t xml:space="preserve">Weekly manual check of 20 emails (Jay)</t>
  </si>
  <si>
    <t xml:space="preserve">30 minutes a week of Jay's time to catch what the AI missed (PRD section 12.3).</t>
  </si>
  <si>
    <t xml:space="preserve">Infrastructure total</t>
  </si>
  <si>
    <t xml:space="preserve">People total</t>
  </si>
  <si>
    <t xml:space="preserve">Value and payback</t>
  </si>
  <si>
    <t xml:space="preserve">What the cost buys. Time savings come from the PRD; pipeline upside is shown separately because it is less certain.</t>
  </si>
  <si>
    <t xml:space="preserve">Inputs</t>
  </si>
  <si>
    <t xml:space="preserve">Pipeline reviews per month</t>
  </si>
  <si>
    <t xml:space="preserve">reviews</t>
  </si>
  <si>
    <t xml:space="preserve">Weekly pipeline review.</t>
  </si>
  <si>
    <t xml:space="preserve">Jay's hours saved per review</t>
  </si>
  <si>
    <t xml:space="preserve">hours</t>
  </si>
  <si>
    <t xml:space="preserve">PRD target: CRM clean-up from ~2 hours to 20 minutes.</t>
  </si>
  <si>
    <t xml:space="preserve">Founder minutes saved per working day (each)</t>
  </si>
  <si>
    <t xml:space="preserve">minutes</t>
  </si>
  <si>
    <t xml:space="preserve">Assumption: no retyping into the CRM and no hunting through the inbox for what is owed.</t>
  </si>
  <si>
    <t xml:space="preserve">Follow-ups due per month</t>
  </si>
  <si>
    <t xml:space="preserve">follow-ups</t>
  </si>
  <si>
    <t xml:space="preserve">PRD worked example: ~30 a week.</t>
  </si>
  <si>
    <t xml:space="preserve">Target on-time rate (North Star)</t>
  </si>
  <si>
    <t xml:space="preserve">%</t>
  </si>
  <si>
    <t xml:space="preserve">PRD target after 8 weeks.</t>
  </si>
  <si>
    <t xml:space="preserve">Stalled pipeline revived in 90 days</t>
  </si>
  <si>
    <t xml:space="preserve">USD</t>
  </si>
  <si>
    <t xml:space="preserve">PRD target: USD 200k of the USD 405k stalled.</t>
  </si>
  <si>
    <t xml:space="preserve">Win rate on revived deals</t>
  </si>
  <si>
    <t xml:space="preserve">Gross margin on services</t>
  </si>
  <si>
    <t xml:space="preserve">Results</t>
  </si>
  <si>
    <t xml:space="preserve">Jay's time saved per month</t>
  </si>
  <si>
    <t xml:space="preserve">Hours saved x Jay's hourly cost.</t>
  </si>
  <si>
    <t xml:space="preserve">Founders' time saved per month</t>
  </si>
  <si>
    <t xml:space="preserve">Minutes saved x days x founders x founder hourly value.</t>
  </si>
  <si>
    <t xml:space="preserve">Total time value per month</t>
  </si>
  <si>
    <t xml:space="preserve">Total monthly cost (running + maintenance)</t>
  </si>
  <si>
    <t xml:space="preserve">From Summary.</t>
  </si>
  <si>
    <t xml:space="preserve">Net monthly value (time only)</t>
  </si>
  <si>
    <t xml:space="preserve">Payback of the build cost (time savings only)</t>
  </si>
  <si>
    <t xml:space="preserve">months</t>
  </si>
  <si>
    <t xml:space="preserve">Build cost ÷ net monthly value.</t>
  </si>
  <si>
    <t xml:space="preserve">Pipeline upside: gross profit from revived deals (one-off)</t>
  </si>
  <si>
    <t xml:space="preserve">Revived value x win rate x margin. Not counted in payback above.</t>
  </si>
  <si>
    <t xml:space="preserve">Cost per follow-up actioned on time</t>
  </si>
  <si>
    <t xml:space="preserve">Ties cost to the North Star: monthly cost ÷ on-time follow-ups.</t>
  </si>
  <si>
    <t xml:space="preserve">Scenarios: volume and model strategy</t>
  </si>
  <si>
    <t xml:space="preserve">How the monthly AI bill changes with volume and with the choice of model. AI cost grows in line with volume.</t>
  </si>
  <si>
    <t xml:space="preserve">Volume scenario</t>
  </si>
  <si>
    <t xml:space="preserve">Volume multiplier</t>
  </si>
  <si>
    <t xml:space="preserve">Recommended mix</t>
  </si>
  <si>
    <t xml:space="preserve">Mix + Batch API</t>
  </si>
  <si>
    <t xml:space="preserve">All Sonnet 5.5</t>
  </si>
  <si>
    <t xml:space="preserve">All Opus 5.5</t>
  </si>
  <si>
    <t xml:space="preserve">Low: quiet month</t>
  </si>
  <si>
    <t xml:space="preserve">Base: today's team</t>
  </si>
  <si>
    <t xml:space="preserve">High: team grows to ~10 sellers</t>
  </si>
  <si>
    <t xml:space="preserve">Reading the table</t>
  </si>
  <si>
    <t xml:space="preserve">Each cell is the AI model bill per month (USD). "Recommended mix" is Haiku 5.5 for reading and Sonnet 5.5 for drafts. "Mix + Batch API" sends background steps through the Batch API at half price. "All Opus 5.5" is the most capable Opus on every step.</t>
  </si>
  <si>
    <t xml:space="preserve">Full monthly cost (base volume)</t>
  </si>
  <si>
    <t xml:space="preserve">AI models</t>
  </si>
  <si>
    <t xml:space="preserve">Infrastructure</t>
  </si>
  <si>
    <t xml:space="preserve">Maintenance + checks</t>
  </si>
  <si>
    <t xml:space="preserve">AI share</t>
  </si>
  <si>
    <t xml:space="preserve">How cost shaped the scope</t>
  </si>
  <si>
    <t xml:space="preserve">Each decision below keeps the bill small and predictable. Figures are live formulas from the other sheets.</t>
  </si>
  <si>
    <t xml:space="preserve">Decision</t>
  </si>
  <si>
    <t xml:space="preserve">Cost effect</t>
  </si>
  <si>
    <t xml:space="preserve">Why it is also good for the product</t>
  </si>
  <si>
    <t xml:space="preserve">Use Haiku 5.5 for the high-volume reading (triage, extraction, match checks)</t>
  </si>
  <si>
    <t xml:space="preserve">Extraction is a well-defined task with a fixed output format; quality is checked by the eval set before launch.</t>
  </si>
  <si>
    <t xml:space="preserve">Use Sonnet 5.5 only for draft replies and the quality judge</t>
  </si>
  <si>
    <t xml:space="preserve">Drafts are what founders read and send; tone and accuracy matter most here.</t>
  </si>
  <si>
    <t xml:space="preserve">Rank the brief and set dates with plain rules, not AI</t>
  </si>
  <si>
    <t xml:space="preserve">Founders can see why an item is on top; dates are predictable.</t>
  </si>
  <si>
    <t xml:space="preserve">Filter newsletters and auto-replies with free rules before any AI call</t>
  </si>
  <si>
    <t xml:space="preserve">Less noise in the brief.</t>
  </si>
  <si>
    <t xml:space="preserve">Cache the fixed instructions and examples (prompt caching)</t>
  </si>
  <si>
    <t xml:space="preserve">Same instructions every time, so answers are consistent.</t>
  </si>
  <si>
    <t xml:space="preserve">Cap the brief at 7 items and draft only for brief items, not every email</t>
  </si>
  <si>
    <t xml:space="preserve">A short brief gets read; a long one gets ignored.</t>
  </si>
  <si>
    <t xml:space="preserve">Quality judge on a weekly sample of 20, not on every item</t>
  </si>
  <si>
    <t xml:space="preserve">Enough to track groundedness weekly.</t>
  </si>
  <si>
    <t xml:space="preserve">No meeting bot or call transcription</t>
  </si>
  <si>
    <t xml:space="preserve">Also avoids privacy and client-consent risk (PRD non-goal).</t>
  </si>
  <si>
    <t xml:space="preserve">Batch API kept as an option, off by default</t>
  </si>
  <si>
    <t xml:space="preserve">Fresh email in the 8 am brief matters more than this saving.</t>
  </si>
  <si>
    <t xml:space="preserve">Monthly spend alert and a max-tokens cap on every call</t>
  </si>
  <si>
    <t xml:space="preserve">Catches a bug (e.g. a loop re-reading the mailbox) before it costs real money.</t>
  </si>
</sst>
</file>

<file path=xl/styles.xml><?xml version="1.0" encoding="utf-8"?>
<styleSheet xmlns="http://schemas.openxmlformats.org/spreadsheetml/2006/main">
  <numFmts count="11">
    <numFmt numFmtId="164" formatCode="General"/>
    <numFmt numFmtId="165" formatCode="\$#,##0.00;&quot;($&quot;#,##0.00\);\-"/>
    <numFmt numFmtId="166" formatCode="\$#,##0;&quot;($&quot;#,##0\);\-"/>
    <numFmt numFmtId="167" formatCode="\$#,##0.0000;&quot;($&quot;#,##0.0000\);\-"/>
    <numFmt numFmtId="168" formatCode="#,##0;\(#,##0\);\-"/>
    <numFmt numFmtId="169" formatCode="0%;\(0%\);\-"/>
    <numFmt numFmtId="170" formatCode="#,##0.0;\(#,##0.0\);&quot;- months&quot;"/>
    <numFmt numFmtId="171" formatCode="#,##0.0;\(#,##0.0\);\-"/>
    <numFmt numFmtId="172" formatCode="0.00"/>
    <numFmt numFmtId="173" formatCode="0.00\x"/>
    <numFmt numFmtId="174" formatCode="0.0\x"/>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0"/>
      <color rgb="FF000000"/>
      <name val="Arial"/>
      <family val="0"/>
      <charset val="1"/>
    </font>
    <font>
      <sz val="10"/>
      <name val="Arial"/>
      <family val="0"/>
      <charset val="1"/>
    </font>
    <font>
      <b val="true"/>
      <sz val="10"/>
      <color rgb="FF1F3864"/>
      <name val="Arial"/>
      <family val="0"/>
      <charset val="1"/>
    </font>
    <font>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D9E1F2"/>
      </patternFill>
    </fill>
    <fill>
      <patternFill patternType="solid">
        <fgColor rgb="FFD9E1F2"/>
        <bgColor rgb="FFE2EFDA"/>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6" fontId="9"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general" vertical="top" textRotation="0" wrapText="false" indent="0" shrinkToFit="false"/>
      <protection locked="true" hidden="false"/>
    </xf>
    <xf numFmtId="168" fontId="12" fillId="5" borderId="1" xfId="0" applyFont="true" applyBorder="true" applyAlignment="true" applyProtection="false">
      <alignment horizontal="general" vertical="top" textRotation="0" wrapText="false" indent="0" shrinkToFit="false"/>
      <protection locked="true" hidden="false"/>
    </xf>
    <xf numFmtId="169" fontId="12" fillId="0" borderId="1" xfId="0" applyFont="true" applyBorder="true" applyAlignment="true" applyProtection="false">
      <alignment horizontal="general" vertical="top" textRotation="0" wrapText="false" indent="0" shrinkToFit="false"/>
      <protection locked="true" hidden="false"/>
    </xf>
    <xf numFmtId="169" fontId="12" fillId="5" borderId="1" xfId="0" applyFont="true" applyBorder="true" applyAlignment="true" applyProtection="false">
      <alignment horizontal="general" vertical="top" textRotation="0" wrapText="false" indent="0" shrinkToFit="false"/>
      <protection locked="true" hidden="false"/>
    </xf>
    <xf numFmtId="171" fontId="12" fillId="0" borderId="1" xfId="0" applyFont="true" applyBorder="true" applyAlignment="true" applyProtection="false">
      <alignment horizontal="general" vertical="top" textRotation="0" wrapText="false" indent="0" shrinkToFit="false"/>
      <protection locked="true" hidden="false"/>
    </xf>
    <xf numFmtId="172" fontId="12" fillId="0" borderId="1" xfId="0" applyFont="true" applyBorder="true" applyAlignment="true" applyProtection="false">
      <alignment horizontal="general" vertical="top" textRotation="0" wrapText="false" indent="0" shrinkToFit="false"/>
      <protection locked="true" hidden="false"/>
    </xf>
    <xf numFmtId="164" fontId="12" fillId="5" borderId="1" xfId="0" applyFont="true" applyBorder="true" applyAlignment="true" applyProtection="false">
      <alignment horizontal="general" vertical="top" textRotation="0" wrapText="false" indent="0" shrinkToFit="false"/>
      <protection locked="true" hidden="false"/>
    </xf>
    <xf numFmtId="166" fontId="12" fillId="0" borderId="1" xfId="0" applyFont="true" applyBorder="true" applyAlignment="true" applyProtection="false">
      <alignment horizontal="general" vertical="top" textRotation="0" wrapText="false" indent="0" shrinkToFit="false"/>
      <protection locked="true" hidden="false"/>
    </xf>
    <xf numFmtId="166" fontId="12" fillId="5"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5" fontId="12" fillId="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false" indent="0" shrinkToFit="false"/>
      <protection locked="true" hidden="false"/>
    </xf>
    <xf numFmtId="173" fontId="12" fillId="0"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71"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74" fontId="12"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t="s">
        <v>2</v>
      </c>
      <c r="C4" s="4" t="s">
        <v>3</v>
      </c>
      <c r="D4" s="4" t="s">
        <v>4</v>
      </c>
    </row>
    <row r="5" customFormat="false" ht="15" hidden="false" customHeight="false" outlineLevel="0" collapsed="false">
      <c r="B5" s="5" t="s">
        <v>5</v>
      </c>
      <c r="C5" s="6" t="n">
        <f aca="false">'Token Usage'!$L$11</f>
        <v>6.4799372</v>
      </c>
      <c r="D5" s="7" t="s">
        <v>6</v>
      </c>
    </row>
    <row r="6" customFormat="false" ht="15" hidden="false" customHeight="false" outlineLevel="0" collapsed="false">
      <c r="B6" s="5" t="s">
        <v>7</v>
      </c>
      <c r="C6" s="8" t="n">
        <f aca="false">Infrastructure!$B$19</f>
        <v>85</v>
      </c>
      <c r="D6" s="7" t="s">
        <v>8</v>
      </c>
    </row>
    <row r="7" customFormat="false" ht="15" hidden="false" customHeight="false" outlineLevel="0" collapsed="false">
      <c r="B7" s="5" t="s">
        <v>9</v>
      </c>
      <c r="C7" s="9" t="n">
        <f aca="false">C5+C6</f>
        <v>91.4799372</v>
      </c>
      <c r="D7" s="7" t="s">
        <v>10</v>
      </c>
    </row>
    <row r="8" customFormat="false" ht="15" hidden="false" customHeight="false" outlineLevel="0" collapsed="false">
      <c r="B8" s="5" t="s">
        <v>11</v>
      </c>
      <c r="C8" s="8" t="n">
        <f aca="false">Infrastructure!$B$20</f>
        <v>363.3</v>
      </c>
      <c r="D8" s="7" t="s">
        <v>12</v>
      </c>
    </row>
    <row r="9" customFormat="false" ht="15" hidden="false" customHeight="false" outlineLevel="0" collapsed="false">
      <c r="B9" s="10" t="s">
        <v>13</v>
      </c>
      <c r="C9" s="11" t="n">
        <f aca="false">C7+C8</f>
        <v>454.7799372</v>
      </c>
      <c r="D9" s="12" t="s">
        <v>14</v>
      </c>
    </row>
    <row r="10" customFormat="false" ht="15" hidden="false" customHeight="false" outlineLevel="0" collapsed="false">
      <c r="B10" s="5" t="s">
        <v>15</v>
      </c>
      <c r="C10" s="8" t="n">
        <f aca="false">Infrastructure!$C$20</f>
        <v>7200</v>
      </c>
      <c r="D10" s="7" t="s">
        <v>16</v>
      </c>
    </row>
    <row r="11" customFormat="false" ht="15" hidden="false" customHeight="false" outlineLevel="0" collapsed="false">
      <c r="B11" s="10" t="s">
        <v>17</v>
      </c>
      <c r="C11" s="11" t="n">
        <f aca="false">C10+12*C9</f>
        <v>12657.3592464</v>
      </c>
      <c r="D11" s="12" t="s">
        <v>18</v>
      </c>
    </row>
    <row r="12" customFormat="false" ht="15" hidden="false" customHeight="false" outlineLevel="0" collapsed="false">
      <c r="B12" s="5" t="s">
        <v>19</v>
      </c>
      <c r="C12" s="8" t="n">
        <f aca="false">IF(Assumptions!$B$7&gt;0,C9/Assumptions!$B$7,0)</f>
        <v>151.5933124</v>
      </c>
      <c r="D12" s="7" t="s">
        <v>20</v>
      </c>
    </row>
    <row r="13" customFormat="false" ht="15" hidden="false" customHeight="false" outlineLevel="0" collapsed="false">
      <c r="B13" s="5" t="s">
        <v>21</v>
      </c>
      <c r="C13" s="13" t="n">
        <f aca="false">IF((Assumptions!$B$9+Assumptions!$B$10)&gt;0,C5/((Assumptions!$B$9+Assumptions!$B$10)*Assumptions!$B$6),0)</f>
        <v>0.004602228125</v>
      </c>
      <c r="D13" s="7" t="s">
        <v>22</v>
      </c>
    </row>
    <row r="14" customFormat="false" ht="15" hidden="false" customHeight="false" outlineLevel="0" collapsed="false">
      <c r="B14" s="5" t="s">
        <v>23</v>
      </c>
      <c r="C14" s="13" t="n">
        <f aca="false">'Token Usage'!J9</f>
        <v>0.012904</v>
      </c>
      <c r="D14" s="7" t="s">
        <v>24</v>
      </c>
    </row>
    <row r="15" customFormat="false" ht="15" hidden="false" customHeight="false" outlineLevel="0" collapsed="false">
      <c r="B15" s="5" t="s">
        <v>25</v>
      </c>
      <c r="C15" s="14" t="n">
        <f aca="false">'Token Usage'!$D$13</f>
        <v>6803412</v>
      </c>
      <c r="D15" s="7" t="s">
        <v>26</v>
      </c>
    </row>
    <row r="16" customFormat="false" ht="15" hidden="false" customHeight="false" outlineLevel="0" collapsed="false">
      <c r="B16" s="5" t="s">
        <v>27</v>
      </c>
      <c r="C16" s="15" t="n">
        <f aca="false">IF(C9&gt;0,C5/C9,0)</f>
        <v>0.0142485115766008</v>
      </c>
      <c r="D16" s="7" t="s">
        <v>28</v>
      </c>
    </row>
    <row r="17" customFormat="false" ht="15" hidden="false" customHeight="false" outlineLevel="0" collapsed="false">
      <c r="B17" s="5" t="s">
        <v>29</v>
      </c>
      <c r="C17" s="6" t="n">
        <f aca="false">'Value &amp; ROI'!B22</f>
        <v>4.37288401153846</v>
      </c>
      <c r="D17" s="7" t="s">
        <v>30</v>
      </c>
    </row>
    <row r="18" customFormat="false" ht="15" hidden="false" customHeight="false" outlineLevel="0" collapsed="false">
      <c r="B18" s="5" t="s">
        <v>31</v>
      </c>
      <c r="C18" s="8" t="n">
        <f aca="false">'Value &amp; ROI'!B17</f>
        <v>1244.622</v>
      </c>
      <c r="D18" s="7" t="s">
        <v>32</v>
      </c>
    </row>
    <row r="19" customFormat="false" ht="15" hidden="false" customHeight="false" outlineLevel="0" collapsed="false">
      <c r="B19" s="5" t="s">
        <v>33</v>
      </c>
      <c r="C19" s="16" t="n">
        <f aca="false">'Value &amp; ROI'!B20</f>
        <v>9.11574647528382</v>
      </c>
      <c r="D19" s="7" t="s">
        <v>34</v>
      </c>
    </row>
    <row r="20" customFormat="false" ht="15" hidden="false" customHeight="false" outlineLevel="0" collapsed="false">
      <c r="B20" s="5" t="s">
        <v>35</v>
      </c>
      <c r="C20" s="6" t="n">
        <f aca="false">'Token Usage'!N11</f>
        <v>30.697392</v>
      </c>
      <c r="D20" s="7" t="s">
        <v>36</v>
      </c>
    </row>
    <row r="22" customFormat="false" ht="15" hidden="false" customHeight="false" outlineLevel="0" collapsed="false">
      <c r="B22" s="17" t="s">
        <v>37</v>
      </c>
    </row>
    <row r="23" customFormat="false" ht="18" hidden="false" customHeight="true" outlineLevel="0" collapsed="false">
      <c r="B23" s="18" t="str">
        <f aca="false">"1. The AI itself is cheap: about "&amp;TEXT(C5,"$0")&amp;" a month, or "&amp;TEXT(C13,"$0.000")&amp;" per email. It is "&amp;TEXT(C16,"0%")&amp;" of the total monthly cost."</f>
        <v>1. The AI itself is cheap: about $6 a month, or $0.005 per email. It is 1% of the total monthly cost.</v>
      </c>
      <c r="C23" s="18"/>
      <c r="D23" s="18"/>
    </row>
    <row r="24" customFormat="false" ht="18" hidden="false" customHeight="true" outlineLevel="0" collapsed="false">
      <c r="B24" s="18" t="str">
        <f aca="false">"2. People time (build and upkeep) is the real cost: build "&amp;TEXT(C10,"$#,##0")&amp;" once, then "&amp;TEXT(C8,"$0")&amp;" a month."</f>
        <v>2. People time (build and upkeep) is the real cost: build $7,200 once, then $363 a month.</v>
      </c>
      <c r="C24" s="18"/>
      <c r="D24" s="18"/>
    </row>
    <row r="25" customFormat="false" ht="18" hidden="false" customHeight="true" outlineLevel="0" collapsed="false">
      <c r="B25" s="18" t="str">
        <f aca="false">"3. Using the right model per task matters: Opus 5.5 everywhere would cost "&amp;TEXT(C20,"$0")&amp;" a month, about "&amp;TEXT(IF(C5&gt;0,C20/C5,0),"0")&amp;"x the recommended mix."</f>
        <v>3. Using the right model per task matters: Opus 5.5 everywhere would cost $31 a month, about 5x the recommended mix.</v>
      </c>
      <c r="C25" s="18"/>
      <c r="D25" s="18"/>
    </row>
    <row r="26" customFormat="false" ht="18" hidden="false" customHeight="true" outlineLevel="0" collapsed="false">
      <c r="B26" s="18" t="str">
        <f aca="false">"4. Even at 3x volume the AI bill stays near "&amp;TEXT(Scenarios!C7,"$0")&amp;" a month, so cost does not limit growth; quality and trust do."</f>
        <v>4. Even at 3x volume the AI bill stays near $19 a month, so cost does not limit growth; quality and trust do.</v>
      </c>
      <c r="C26" s="18"/>
      <c r="D26" s="18"/>
    </row>
    <row r="27" customFormat="false" ht="18" hidden="false" customHeight="true" outlineLevel="0" collapsed="false">
      <c r="B27" s="18" t="str">
        <f aca="false">"5. The build pays back in about "&amp;TEXT('Value &amp; ROI'!B20,"0.0")&amp;" months from time savings alone, before any revived pipeline."</f>
        <v>5. The build pays back in about 9.1 months from time savings alone, before any revived pipeline.</v>
      </c>
      <c r="C27" s="18"/>
      <c r="D27" s="18"/>
    </row>
    <row r="29" customFormat="false" ht="15" hidden="false" customHeight="false" outlineLevel="0" collapsed="false">
      <c r="B29" s="19" t="s">
        <v>38</v>
      </c>
      <c r="C29" s="19"/>
      <c r="D29" s="19"/>
    </row>
  </sheetData>
  <mergeCells count="6">
    <mergeCell ref="B23:D23"/>
    <mergeCell ref="B24:D24"/>
    <mergeCell ref="B25:D25"/>
    <mergeCell ref="B26:D26"/>
    <mergeCell ref="B27:D27"/>
    <mergeCell ref="B29:D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6"/>
    <col collapsed="false" customWidth="true" hidden="false" outlineLevel="0" max="4" min="4" style="0" width="92"/>
  </cols>
  <sheetData>
    <row r="1" customFormat="false" ht="17.35" hidden="false" customHeight="false" outlineLevel="0" collapsed="false">
      <c r="A1" s="1" t="s">
        <v>39</v>
      </c>
    </row>
    <row r="2" customFormat="false" ht="15" hidden="false" customHeight="false" outlineLevel="0" collapsed="false">
      <c r="A2" s="2" t="s">
        <v>40</v>
      </c>
    </row>
    <row r="4" customFormat="false" ht="15" hidden="false" customHeight="false" outlineLevel="0" collapsed="false">
      <c r="A4" s="4" t="s">
        <v>41</v>
      </c>
      <c r="B4" s="4" t="s">
        <v>3</v>
      </c>
      <c r="C4" s="4" t="s">
        <v>42</v>
      </c>
      <c r="D4" s="4" t="s">
        <v>43</v>
      </c>
    </row>
    <row r="5" customFormat="false" ht="15" hidden="false" customHeight="false" outlineLevel="0" collapsed="false">
      <c r="A5" s="20" t="s">
        <v>44</v>
      </c>
      <c r="B5" s="21"/>
      <c r="C5" s="21"/>
      <c r="D5" s="21"/>
    </row>
    <row r="6" customFormat="false" ht="15" hidden="false" customHeight="false" outlineLevel="0" collapsed="false">
      <c r="A6" s="7" t="s">
        <v>45</v>
      </c>
      <c r="B6" s="22" t="n">
        <v>22</v>
      </c>
      <c r="C6" s="5" t="s">
        <v>46</v>
      </c>
      <c r="D6" s="7" t="s">
        <v>47</v>
      </c>
    </row>
    <row r="7" customFormat="false" ht="15" hidden="false" customHeight="false" outlineLevel="0" collapsed="false">
      <c r="A7" s="7" t="s">
        <v>48</v>
      </c>
      <c r="B7" s="22" t="n">
        <v>3</v>
      </c>
      <c r="C7" s="5" t="s">
        <v>49</v>
      </c>
      <c r="D7" s="7" t="s">
        <v>50</v>
      </c>
    </row>
    <row r="8" customFormat="false" ht="15" hidden="false" customHeight="false" outlineLevel="0" collapsed="false">
      <c r="A8" s="20" t="s">
        <v>51</v>
      </c>
      <c r="B8" s="21"/>
      <c r="C8" s="21"/>
      <c r="D8" s="21"/>
    </row>
    <row r="9" customFormat="false" ht="15" hidden="false" customHeight="false" outlineLevel="0" collapsed="false">
      <c r="A9" s="7" t="s">
        <v>52</v>
      </c>
      <c r="B9" s="23" t="n">
        <v>60</v>
      </c>
      <c r="C9" s="5" t="s">
        <v>53</v>
      </c>
      <c r="D9" s="7" t="s">
        <v>54</v>
      </c>
    </row>
    <row r="10" customFormat="false" ht="15" hidden="false" customHeight="false" outlineLevel="0" collapsed="false">
      <c r="A10" s="7" t="s">
        <v>55</v>
      </c>
      <c r="B10" s="23" t="n">
        <v>4</v>
      </c>
      <c r="C10" s="5" t="s">
        <v>56</v>
      </c>
      <c r="D10" s="7" t="s">
        <v>57</v>
      </c>
    </row>
    <row r="11" customFormat="false" ht="23.85" hidden="false" customHeight="false" outlineLevel="0" collapsed="false">
      <c r="A11" s="7" t="s">
        <v>58</v>
      </c>
      <c r="B11" s="24" t="n">
        <v>0.25</v>
      </c>
      <c r="C11" s="5" t="s">
        <v>59</v>
      </c>
      <c r="D11" s="7" t="s">
        <v>60</v>
      </c>
    </row>
    <row r="12" customFormat="false" ht="23.85" hidden="false" customHeight="false" outlineLevel="0" collapsed="false">
      <c r="A12" s="7" t="s">
        <v>61</v>
      </c>
      <c r="B12" s="25" t="n">
        <v>0.5</v>
      </c>
      <c r="C12" s="5" t="s">
        <v>62</v>
      </c>
      <c r="D12" s="7" t="s">
        <v>63</v>
      </c>
    </row>
    <row r="13" customFormat="false" ht="23.85" hidden="false" customHeight="false" outlineLevel="0" collapsed="false">
      <c r="A13" s="7" t="s">
        <v>64</v>
      </c>
      <c r="B13" s="24" t="n">
        <v>0.15</v>
      </c>
      <c r="C13" s="5" t="s">
        <v>65</v>
      </c>
      <c r="D13" s="7" t="s">
        <v>66</v>
      </c>
    </row>
    <row r="14" customFormat="false" ht="15" hidden="false" customHeight="false" outlineLevel="0" collapsed="false">
      <c r="A14" s="7" t="s">
        <v>67</v>
      </c>
      <c r="B14" s="23" t="n">
        <v>5</v>
      </c>
      <c r="C14" s="5" t="s">
        <v>68</v>
      </c>
      <c r="D14" s="7" t="s">
        <v>69</v>
      </c>
    </row>
    <row r="15" customFormat="false" ht="15" hidden="false" customHeight="false" outlineLevel="0" collapsed="false">
      <c r="A15" s="7" t="s">
        <v>70</v>
      </c>
      <c r="B15" s="24" t="n">
        <v>0.2</v>
      </c>
      <c r="C15" s="5" t="s">
        <v>71</v>
      </c>
      <c r="D15" s="7" t="s">
        <v>72</v>
      </c>
    </row>
    <row r="16" customFormat="false" ht="23.85" hidden="false" customHeight="false" outlineLevel="0" collapsed="false">
      <c r="A16" s="7" t="s">
        <v>73</v>
      </c>
      <c r="B16" s="22" t="n">
        <v>20</v>
      </c>
      <c r="C16" s="5" t="s">
        <v>74</v>
      </c>
      <c r="D16" s="7" t="s">
        <v>75</v>
      </c>
    </row>
    <row r="17" customFormat="false" ht="15" hidden="false" customHeight="false" outlineLevel="0" collapsed="false">
      <c r="A17" s="20" t="s">
        <v>76</v>
      </c>
      <c r="B17" s="21"/>
      <c r="C17" s="21"/>
      <c r="D17" s="21"/>
    </row>
    <row r="18" customFormat="false" ht="15" hidden="false" customHeight="false" outlineLevel="0" collapsed="false">
      <c r="A18" s="7" t="s">
        <v>77</v>
      </c>
      <c r="B18" s="22" t="n">
        <v>127</v>
      </c>
      <c r="C18" s="5" t="s">
        <v>78</v>
      </c>
      <c r="D18" s="7" t="s">
        <v>79</v>
      </c>
    </row>
    <row r="19" customFormat="false" ht="15" hidden="false" customHeight="false" outlineLevel="0" collapsed="false">
      <c r="A19" s="7" t="s">
        <v>80</v>
      </c>
      <c r="B19" s="26" t="n">
        <v>3</v>
      </c>
      <c r="C19" s="5" t="s">
        <v>81</v>
      </c>
      <c r="D19" s="7" t="s">
        <v>82</v>
      </c>
    </row>
    <row r="20" customFormat="false" ht="15" hidden="false" customHeight="false" outlineLevel="0" collapsed="false">
      <c r="A20" s="7" t="s">
        <v>83</v>
      </c>
      <c r="B20" s="27" t="n">
        <v>1.33</v>
      </c>
      <c r="C20" s="5" t="s">
        <v>84</v>
      </c>
      <c r="D20" s="7" t="s">
        <v>85</v>
      </c>
    </row>
    <row r="21" customFormat="false" ht="15" hidden="false" customHeight="false" outlineLevel="0" collapsed="false">
      <c r="A21" s="7" t="s">
        <v>86</v>
      </c>
      <c r="B21" s="22" t="n">
        <v>600</v>
      </c>
      <c r="C21" s="5" t="s">
        <v>87</v>
      </c>
      <c r="D21" s="7" t="s">
        <v>88</v>
      </c>
    </row>
    <row r="22" customFormat="false" ht="15" hidden="false" customHeight="false" outlineLevel="0" collapsed="false">
      <c r="A22" s="20" t="s">
        <v>89</v>
      </c>
      <c r="B22" s="21"/>
      <c r="C22" s="21"/>
      <c r="D22" s="21"/>
    </row>
    <row r="23" customFormat="false" ht="15" hidden="false" customHeight="false" outlineLevel="0" collapsed="false">
      <c r="A23" s="7" t="s">
        <v>90</v>
      </c>
      <c r="B23" s="24" t="n">
        <v>0.1</v>
      </c>
      <c r="C23" s="5" t="s">
        <v>91</v>
      </c>
      <c r="D23" s="7" t="s">
        <v>92</v>
      </c>
    </row>
    <row r="24" customFormat="false" ht="23.85" hidden="false" customHeight="false" outlineLevel="0" collapsed="false">
      <c r="A24" s="7" t="s">
        <v>93</v>
      </c>
      <c r="B24" s="28" t="s">
        <v>94</v>
      </c>
      <c r="C24" s="5" t="s">
        <v>95</v>
      </c>
      <c r="D24" s="7" t="s">
        <v>96</v>
      </c>
    </row>
    <row r="25" customFormat="false" ht="15" hidden="false" customHeight="false" outlineLevel="0" collapsed="false">
      <c r="A25" s="7" t="s">
        <v>97</v>
      </c>
      <c r="B25" s="29" t="n">
        <v>50</v>
      </c>
      <c r="C25" s="5" t="s">
        <v>98</v>
      </c>
      <c r="D25" s="7" t="s">
        <v>99</v>
      </c>
    </row>
    <row r="26" customFormat="false" ht="15" hidden="false" customHeight="false" outlineLevel="0" collapsed="false">
      <c r="A26" s="20" t="s">
        <v>100</v>
      </c>
      <c r="B26" s="21"/>
      <c r="C26" s="21"/>
      <c r="D26" s="21"/>
    </row>
    <row r="27" customFormat="false" ht="15" hidden="false" customHeight="false" outlineLevel="0" collapsed="false">
      <c r="A27" s="7" t="s">
        <v>101</v>
      </c>
      <c r="B27" s="30" t="n">
        <v>40</v>
      </c>
      <c r="C27" s="5" t="s">
        <v>102</v>
      </c>
      <c r="D27" s="7" t="s">
        <v>103</v>
      </c>
    </row>
    <row r="28" customFormat="false" ht="15" hidden="false" customHeight="false" outlineLevel="0" collapsed="false">
      <c r="A28" s="7" t="s">
        <v>104</v>
      </c>
      <c r="B28" s="29" t="n">
        <v>50</v>
      </c>
      <c r="C28" s="5" t="s">
        <v>102</v>
      </c>
      <c r="D28" s="7" t="s">
        <v>105</v>
      </c>
    </row>
    <row r="29" customFormat="false" ht="15" hidden="false" customHeight="false" outlineLevel="0" collapsed="false">
      <c r="A29" s="7" t="s">
        <v>106</v>
      </c>
      <c r="B29" s="29" t="n">
        <v>20</v>
      </c>
      <c r="C29" s="5" t="s">
        <v>102</v>
      </c>
      <c r="D29" s="7" t="s">
        <v>107</v>
      </c>
    </row>
  </sheetData>
  <dataValidations count="1">
    <dataValidation allowBlank="false" errorStyle="stop" operator="between" showDropDown="false" showErrorMessage="false" showInputMessage="false" sqref="B2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1"/>
    <col collapsed="false" customWidth="true" hidden="false" outlineLevel="0" max="4" min="4" style="0" width="12"/>
    <col collapsed="false" customWidth="true" hidden="false" outlineLevel="0" max="5" min="5" style="0" width="52"/>
    <col collapsed="false" customWidth="true" hidden="false" outlineLevel="0" max="6" min="6" style="0" width="60"/>
  </cols>
  <sheetData>
    <row r="1" customFormat="false" ht="17.3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A4" s="4" t="s">
        <v>110</v>
      </c>
      <c r="B4" s="4" t="s">
        <v>111</v>
      </c>
      <c r="C4" s="4" t="s">
        <v>112</v>
      </c>
      <c r="D4" s="4" t="s">
        <v>113</v>
      </c>
      <c r="E4" s="4" t="s">
        <v>114</v>
      </c>
      <c r="F4" s="4" t="s">
        <v>115</v>
      </c>
    </row>
    <row r="5" customFormat="false" ht="23.85" hidden="false" customHeight="false" outlineLevel="0" collapsed="false">
      <c r="A5" s="31" t="s">
        <v>116</v>
      </c>
      <c r="B5" s="32" t="n">
        <v>0.1</v>
      </c>
      <c r="C5" s="32" t="n">
        <v>0.5</v>
      </c>
      <c r="D5" s="32" t="n">
        <v>0.01</v>
      </c>
      <c r="E5" s="7" t="s">
        <v>117</v>
      </c>
      <c r="F5" s="7" t="s">
        <v>118</v>
      </c>
    </row>
    <row r="6" customFormat="false" ht="15" hidden="false" customHeight="false" outlineLevel="0" collapsed="false">
      <c r="A6" s="31" t="s">
        <v>119</v>
      </c>
      <c r="B6" s="32" t="n">
        <v>2</v>
      </c>
      <c r="C6" s="32" t="n">
        <v>10</v>
      </c>
      <c r="D6" s="32" t="n">
        <v>0.2</v>
      </c>
      <c r="E6" s="7" t="s">
        <v>120</v>
      </c>
      <c r="F6" s="7" t="s">
        <v>121</v>
      </c>
    </row>
    <row r="7" customFormat="false" ht="23.85" hidden="false" customHeight="false" outlineLevel="0" collapsed="false">
      <c r="A7" s="31" t="s">
        <v>122</v>
      </c>
      <c r="B7" s="32" t="n">
        <v>4</v>
      </c>
      <c r="C7" s="32" t="n">
        <v>20</v>
      </c>
      <c r="D7" s="32" t="n">
        <v>0.2</v>
      </c>
      <c r="E7" s="7" t="s">
        <v>123</v>
      </c>
      <c r="F7" s="7" t="s">
        <v>124</v>
      </c>
    </row>
    <row r="9" customFormat="false" ht="15" hidden="false" customHeight="false" outlineLevel="0" collapsed="false">
      <c r="A9" s="31" t="s">
        <v>125</v>
      </c>
      <c r="B9" s="24" t="n">
        <v>0.5</v>
      </c>
      <c r="C9" s="33" t="s">
        <v>126</v>
      </c>
    </row>
    <row r="10" customFormat="false" ht="15" hidden="false" customHeight="false" outlineLevel="0" collapsed="false">
      <c r="A10" s="31" t="s">
        <v>127</v>
      </c>
      <c r="B10" s="34" t="n">
        <v>1.25</v>
      </c>
      <c r="C10" s="33" t="s">
        <v>128</v>
      </c>
    </row>
    <row r="12" customFormat="false" ht="30" hidden="false" customHeight="true" outlineLevel="0" collapsed="false">
      <c r="A12" s="31" t="s">
        <v>129</v>
      </c>
      <c r="B12" s="35" t="s">
        <v>130</v>
      </c>
      <c r="C12" s="35"/>
      <c r="D12" s="35"/>
      <c r="E12" s="35"/>
      <c r="F12" s="35"/>
    </row>
  </sheetData>
  <mergeCells count="1">
    <mergeCell ref="B12:F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8"/>
    <col collapsed="false" customWidth="true" hidden="false" outlineLevel="0" max="4" min="4" style="0" width="10"/>
    <col collapsed="false" customWidth="true" hidden="false" outlineLevel="0" max="6" min="5" style="0" width="11"/>
    <col collapsed="false" customWidth="true" hidden="false" outlineLevel="0" max="9" min="7" style="0" width="10"/>
    <col collapsed="false" customWidth="true" hidden="false" outlineLevel="0" max="11" min="10" style="0" width="11"/>
    <col collapsed="false" customWidth="true" hidden="false" outlineLevel="0" max="15" min="12" style="0" width="12"/>
    <col collapsed="false" customWidth="true" hidden="false" outlineLevel="0" max="16" min="16" style="0" width="70"/>
  </cols>
  <sheetData>
    <row r="1" customFormat="false" ht="17.35" hidden="false" customHeight="false" outlineLevel="0" collapsed="false">
      <c r="A1" s="1" t="s">
        <v>131</v>
      </c>
    </row>
    <row r="2" customFormat="false" ht="15" hidden="false" customHeight="false" outlineLevel="0" collapsed="false">
      <c r="A2" s="2" t="s">
        <v>132</v>
      </c>
    </row>
    <row r="4" customFormat="false" ht="42" hidden="false" customHeight="true" outlineLevel="0" collapsed="false">
      <c r="A4" s="4" t="s">
        <v>133</v>
      </c>
      <c r="B4" s="4" t="s">
        <v>134</v>
      </c>
      <c r="C4" s="4" t="s">
        <v>135</v>
      </c>
      <c r="D4" s="4" t="s">
        <v>136</v>
      </c>
      <c r="E4" s="4" t="s">
        <v>137</v>
      </c>
      <c r="F4" s="4" t="s">
        <v>138</v>
      </c>
      <c r="G4" s="4" t="s">
        <v>139</v>
      </c>
      <c r="H4" s="4" t="s">
        <v>129</v>
      </c>
      <c r="I4" s="4" t="s">
        <v>140</v>
      </c>
      <c r="J4" s="4" t="s">
        <v>141</v>
      </c>
      <c r="K4" s="4" t="s">
        <v>142</v>
      </c>
      <c r="L4" s="4" t="s">
        <v>143</v>
      </c>
      <c r="M4" s="4" t="s">
        <v>144</v>
      </c>
      <c r="N4" s="4" t="s">
        <v>145</v>
      </c>
      <c r="O4" s="4" t="s">
        <v>146</v>
      </c>
      <c r="P4" s="4" t="s">
        <v>147</v>
      </c>
    </row>
    <row r="5" customFormat="false" ht="39.75" hidden="false" customHeight="true" outlineLevel="0" collapsed="false">
      <c r="A5" s="31" t="s">
        <v>148</v>
      </c>
      <c r="B5" s="5" t="s">
        <v>149</v>
      </c>
      <c r="C5" s="36" t="s">
        <v>116</v>
      </c>
      <c r="D5" s="37" t="n">
        <f aca="false">(Assumptions!$B$9+Assumptions!$B$10)*(1-Assumptions!$B$11)</f>
        <v>48</v>
      </c>
      <c r="E5" s="22" t="n">
        <v>1200</v>
      </c>
      <c r="F5" s="38" t="n">
        <f aca="false">ROUND(Assumptions!$B$18*Assumptions!$B$20,0)+100</f>
        <v>269</v>
      </c>
      <c r="G5" s="22" t="n">
        <v>60</v>
      </c>
      <c r="H5" s="22" t="n">
        <v>100</v>
      </c>
      <c r="I5" s="36" t="s">
        <v>150</v>
      </c>
      <c r="J5" s="39" t="n">
        <f aca="false">(E5*((1-Assumptions!$B$23)*INDEX('Model Prices'!$D$5:$D$7,MATCH(C5,'Model Prices'!$A$5:$A$7,0))+Assumptions!$B$23*'Model Prices'!$B$10*INDEX('Model Prices'!$B$5:$B$7,MATCH(C5,'Model Prices'!$A$5:$A$7,0)))+F5*INDEX('Model Prices'!$B$5:$B$7,MATCH(C5,'Model Prices'!$A$5:$A$7,0))+(G5+H5)*INDEX('Model Prices'!$C$5:$C$7,MATCH(C5,'Model Prices'!$A$5:$A$7,0)))/1000000*IF(AND(Assumptions!$B$24="Yes",I5="Yes"),'Model Prices'!$B$9,1)</f>
        <v>0.0001327</v>
      </c>
      <c r="K5" s="40" t="n">
        <f aca="false">J5*D5</f>
        <v>0.0063696</v>
      </c>
      <c r="L5" s="40" t="n">
        <f aca="false">K5*Assumptions!$B$6</f>
        <v>0.1401312</v>
      </c>
      <c r="M5" s="40" t="n">
        <f aca="false">((E5*((1-Assumptions!$B$23)*INDEX('Model Prices'!$D$5:$D$7,MATCH("Claude Sonnet 5.5",'Model Prices'!$A$5:$A$7,0))+Assumptions!$B$23*'Model Prices'!$B$10*INDEX('Model Prices'!$B$5:$B$7,MATCH("Claude Sonnet 5.5",'Model Prices'!$A$5:$A$7,0)))+F5*INDEX('Model Prices'!$B$5:$B$7,MATCH("Claude Sonnet 5.5",'Model Prices'!$A$5:$A$7,0))+(G5+H5)*INDEX('Model Prices'!$C$5:$C$7,MATCH("Claude Sonnet 5.5",'Model Prices'!$A$5:$A$7,0)))/1000000*IF(AND(Assumptions!$B$24="Yes",I5="Yes"),'Model Prices'!$B$9,1))*D5*Assumptions!$B$6</f>
        <v>2.802624</v>
      </c>
      <c r="N5" s="40" t="n">
        <f aca="false">((E5*((1-Assumptions!$B$23)*INDEX('Model Prices'!$D$5:$D$7,MATCH("Claude Opus 5.5",'Model Prices'!$A$5:$A$7,0))+Assumptions!$B$23*'Model Prices'!$B$10*INDEX('Model Prices'!$B$5:$B$7,MATCH("Claude Opus 5.5",'Model Prices'!$A$5:$A$7,0)))+F5*INDEX('Model Prices'!$B$5:$B$7,MATCH("Claude Opus 5.5",'Model Prices'!$A$5:$A$7,0))+(G5+H5)*INDEX('Model Prices'!$C$5:$C$7,MATCH("Claude Opus 5.5",'Model Prices'!$A$5:$A$7,0)))/1000000*IF(AND(Assumptions!$B$24="Yes",I5="Yes"),'Model Prices'!$B$9,1))*D5*Assumptions!$B$6</f>
        <v>5.377152</v>
      </c>
      <c r="O5" s="40" t="n">
        <f aca="false">((E5*((1-Assumptions!$B$23)*INDEX('Model Prices'!$D$5:$D$7,MATCH("Claude Haiku 5.5",'Model Prices'!$A$5:$A$7,0))+Assumptions!$B$23*'Model Prices'!$B$10*INDEX('Model Prices'!$B$5:$B$7,MATCH("Claude Haiku 5.5",'Model Prices'!$A$5:$A$7,0)))+F5*INDEX('Model Prices'!$B$5:$B$7,MATCH("Claude Haiku 5.5",'Model Prices'!$A$5:$A$7,0))+(G5+H5)*INDEX('Model Prices'!$C$5:$C$7,MATCH("Claude Haiku 5.5",'Model Prices'!$A$5:$A$7,0)))/1000000*IF(AND(Assumptions!$B$24="Yes",I5="Yes"),'Model Prices'!$B$9,1))*D5*Assumptions!$B$6</f>
        <v>0.1401312</v>
      </c>
      <c r="P5" s="7" t="s">
        <v>151</v>
      </c>
    </row>
    <row r="6" customFormat="false" ht="39.75" hidden="false" customHeight="true" outlineLevel="0" collapsed="false">
      <c r="A6" s="31" t="s">
        <v>152</v>
      </c>
      <c r="B6" s="5" t="s">
        <v>153</v>
      </c>
      <c r="C6" s="36" t="s">
        <v>116</v>
      </c>
      <c r="D6" s="37" t="n">
        <f aca="false">D5*Assumptions!$B$12</f>
        <v>24</v>
      </c>
      <c r="E6" s="22" t="n">
        <v>2500</v>
      </c>
      <c r="F6" s="38" t="n">
        <f aca="false">ROUND(Assumptions!$B$18*Assumptions!$B$19*Assumptions!$B$20,0)+Assumptions!$B$21</f>
        <v>1107</v>
      </c>
      <c r="G6" s="22" t="n">
        <v>450</v>
      </c>
      <c r="H6" s="22" t="n">
        <v>350</v>
      </c>
      <c r="I6" s="36" t="s">
        <v>150</v>
      </c>
      <c r="J6" s="39" t="n">
        <f aca="false">(E6*((1-Assumptions!$B$23)*INDEX('Model Prices'!$D$5:$D$7,MATCH(C6,'Model Prices'!$A$5:$A$7,0))+Assumptions!$B$23*'Model Prices'!$B$10*INDEX('Model Prices'!$B$5:$B$7,MATCH(C6,'Model Prices'!$A$5:$A$7,0)))+F6*INDEX('Model Prices'!$B$5:$B$7,MATCH(C6,'Model Prices'!$A$5:$A$7,0))+(G6+H6)*INDEX('Model Prices'!$C$5:$C$7,MATCH(C6,'Model Prices'!$A$5:$A$7,0)))/1000000*IF(AND(Assumptions!$B$24="Yes",I6="Yes"),'Model Prices'!$B$9,1)</f>
        <v>0.00056445</v>
      </c>
      <c r="K6" s="40" t="n">
        <f aca="false">J6*D6</f>
        <v>0.0135468</v>
      </c>
      <c r="L6" s="40" t="n">
        <f aca="false">K6*Assumptions!$B$6</f>
        <v>0.2980296</v>
      </c>
      <c r="M6" s="40" t="n">
        <f aca="false">((E6*((1-Assumptions!$B$23)*INDEX('Model Prices'!$D$5:$D$7,MATCH("Claude Sonnet 5.5",'Model Prices'!$A$5:$A$7,0))+Assumptions!$B$23*'Model Prices'!$B$10*INDEX('Model Prices'!$B$5:$B$7,MATCH("Claude Sonnet 5.5",'Model Prices'!$A$5:$A$7,0)))+F6*INDEX('Model Prices'!$B$5:$B$7,MATCH("Claude Sonnet 5.5",'Model Prices'!$A$5:$A$7,0))+(G6+H6)*INDEX('Model Prices'!$C$5:$C$7,MATCH("Claude Sonnet 5.5",'Model Prices'!$A$5:$A$7,0)))/1000000*IF(AND(Assumptions!$B$24="Yes",I6="Yes"),'Model Prices'!$B$9,1))*D6*Assumptions!$B$6</f>
        <v>5.960592</v>
      </c>
      <c r="N6" s="40" t="n">
        <f aca="false">((E6*((1-Assumptions!$B$23)*INDEX('Model Prices'!$D$5:$D$7,MATCH("Claude Opus 5.5",'Model Prices'!$A$5:$A$7,0))+Assumptions!$B$23*'Model Prices'!$B$10*INDEX('Model Prices'!$B$5:$B$7,MATCH("Claude Opus 5.5",'Model Prices'!$A$5:$A$7,0)))+F6*INDEX('Model Prices'!$B$5:$B$7,MATCH("Claude Opus 5.5",'Model Prices'!$A$5:$A$7,0))+(G6+H6)*INDEX('Model Prices'!$C$5:$C$7,MATCH("Claude Opus 5.5",'Model Prices'!$A$5:$A$7,0)))/1000000*IF(AND(Assumptions!$B$24="Yes",I6="Yes"),'Model Prices'!$B$9,1))*D6*Assumptions!$B$6</f>
        <v>11.683584</v>
      </c>
      <c r="O6" s="40" t="n">
        <f aca="false">((E6*((1-Assumptions!$B$23)*INDEX('Model Prices'!$D$5:$D$7,MATCH("Claude Haiku 5.5",'Model Prices'!$A$5:$A$7,0))+Assumptions!$B$23*'Model Prices'!$B$10*INDEX('Model Prices'!$B$5:$B$7,MATCH("Claude Haiku 5.5",'Model Prices'!$A$5:$A$7,0)))+F6*INDEX('Model Prices'!$B$5:$B$7,MATCH("Claude Haiku 5.5",'Model Prices'!$A$5:$A$7,0))+(G6+H6)*INDEX('Model Prices'!$C$5:$C$7,MATCH("Claude Haiku 5.5",'Model Prices'!$A$5:$A$7,0)))/1000000*IF(AND(Assumptions!$B$24="Yes",I6="Yes"),'Model Prices'!$B$9,1))*D6*Assumptions!$B$6</f>
        <v>0.2980296</v>
      </c>
      <c r="P6" s="7" t="s">
        <v>154</v>
      </c>
    </row>
    <row r="7" customFormat="false" ht="39.75" hidden="false" customHeight="true" outlineLevel="0" collapsed="false">
      <c r="A7" s="31" t="s">
        <v>155</v>
      </c>
      <c r="B7" s="5" t="s">
        <v>156</v>
      </c>
      <c r="C7" s="36" t="s">
        <v>116</v>
      </c>
      <c r="D7" s="37" t="n">
        <f aca="false">D6*Assumptions!$B$13</f>
        <v>3.6</v>
      </c>
      <c r="E7" s="22" t="n">
        <v>1000</v>
      </c>
      <c r="F7" s="22" t="n">
        <v>800</v>
      </c>
      <c r="G7" s="22" t="n">
        <v>150</v>
      </c>
      <c r="H7" s="22" t="n">
        <v>150</v>
      </c>
      <c r="I7" s="36" t="s">
        <v>150</v>
      </c>
      <c r="J7" s="39" t="n">
        <f aca="false">(E7*((1-Assumptions!$B$23)*INDEX('Model Prices'!$D$5:$D$7,MATCH(C7,'Model Prices'!$A$5:$A$7,0))+Assumptions!$B$23*'Model Prices'!$B$10*INDEX('Model Prices'!$B$5:$B$7,MATCH(C7,'Model Prices'!$A$5:$A$7,0)))+F7*INDEX('Model Prices'!$B$5:$B$7,MATCH(C7,'Model Prices'!$A$5:$A$7,0))+(G7+H7)*INDEX('Model Prices'!$C$5:$C$7,MATCH(C7,'Model Prices'!$A$5:$A$7,0)))/1000000*IF(AND(Assumptions!$B$24="Yes",I7="Yes"),'Model Prices'!$B$9,1)</f>
        <v>0.0002515</v>
      </c>
      <c r="K7" s="40" t="n">
        <f aca="false">J7*D7</f>
        <v>0.0009054</v>
      </c>
      <c r="L7" s="40" t="n">
        <f aca="false">K7*Assumptions!$B$6</f>
        <v>0.0199188</v>
      </c>
      <c r="M7" s="40" t="n">
        <f aca="false">((E7*((1-Assumptions!$B$23)*INDEX('Model Prices'!$D$5:$D$7,MATCH("Claude Sonnet 5.5",'Model Prices'!$A$5:$A$7,0))+Assumptions!$B$23*'Model Prices'!$B$10*INDEX('Model Prices'!$B$5:$B$7,MATCH("Claude Sonnet 5.5",'Model Prices'!$A$5:$A$7,0)))+F7*INDEX('Model Prices'!$B$5:$B$7,MATCH("Claude Sonnet 5.5",'Model Prices'!$A$5:$A$7,0))+(G7+H7)*INDEX('Model Prices'!$C$5:$C$7,MATCH("Claude Sonnet 5.5",'Model Prices'!$A$5:$A$7,0)))/1000000*IF(AND(Assumptions!$B$24="Yes",I7="Yes"),'Model Prices'!$B$9,1))*D7*Assumptions!$B$6</f>
        <v>0.398376</v>
      </c>
      <c r="N7" s="40" t="n">
        <f aca="false">((E7*((1-Assumptions!$B$23)*INDEX('Model Prices'!$D$5:$D$7,MATCH("Claude Opus 5.5",'Model Prices'!$A$5:$A$7,0))+Assumptions!$B$23*'Model Prices'!$B$10*INDEX('Model Prices'!$B$5:$B$7,MATCH("Claude Opus 5.5",'Model Prices'!$A$5:$A$7,0)))+F7*INDEX('Model Prices'!$B$5:$B$7,MATCH("Claude Opus 5.5",'Model Prices'!$A$5:$A$7,0))+(G7+H7)*INDEX('Model Prices'!$C$5:$C$7,MATCH("Claude Opus 5.5",'Model Prices'!$A$5:$A$7,0)))/1000000*IF(AND(Assumptions!$B$24="Yes",I7="Yes"),'Model Prices'!$B$9,1))*D7*Assumptions!$B$6</f>
        <v>0.782496</v>
      </c>
      <c r="O7" s="40" t="n">
        <f aca="false">((E7*((1-Assumptions!$B$23)*INDEX('Model Prices'!$D$5:$D$7,MATCH("Claude Haiku 5.5",'Model Prices'!$A$5:$A$7,0))+Assumptions!$B$23*'Model Prices'!$B$10*INDEX('Model Prices'!$B$5:$B$7,MATCH("Claude Haiku 5.5",'Model Prices'!$A$5:$A$7,0)))+F7*INDEX('Model Prices'!$B$5:$B$7,MATCH("Claude Haiku 5.5",'Model Prices'!$A$5:$A$7,0))+(G7+H7)*INDEX('Model Prices'!$C$5:$C$7,MATCH("Claude Haiku 5.5",'Model Prices'!$A$5:$A$7,0)))/1000000*IF(AND(Assumptions!$B$24="Yes",I7="Yes"),'Model Prices'!$B$9,1))*D7*Assumptions!$B$6</f>
        <v>0.0199188</v>
      </c>
      <c r="P7" s="7" t="s">
        <v>157</v>
      </c>
    </row>
    <row r="8" customFormat="false" ht="39.75" hidden="false" customHeight="true" outlineLevel="0" collapsed="false">
      <c r="A8" s="31" t="s">
        <v>158</v>
      </c>
      <c r="B8" s="5" t="s">
        <v>159</v>
      </c>
      <c r="C8" s="36" t="s">
        <v>116</v>
      </c>
      <c r="D8" s="37" t="n">
        <f aca="false">Assumptions!$B$7+1</f>
        <v>4</v>
      </c>
      <c r="E8" s="22" t="n">
        <v>800</v>
      </c>
      <c r="F8" s="22" t="n">
        <v>1500</v>
      </c>
      <c r="G8" s="22" t="n">
        <v>200</v>
      </c>
      <c r="H8" s="22" t="n">
        <v>100</v>
      </c>
      <c r="I8" s="36" t="s">
        <v>94</v>
      </c>
      <c r="J8" s="39" t="n">
        <f aca="false">(E8*((1-Assumptions!$B$23)*INDEX('Model Prices'!$D$5:$D$7,MATCH(C8,'Model Prices'!$A$5:$A$7,0))+Assumptions!$B$23*'Model Prices'!$B$10*INDEX('Model Prices'!$B$5:$B$7,MATCH(C8,'Model Prices'!$A$5:$A$7,0)))+F8*INDEX('Model Prices'!$B$5:$B$7,MATCH(C8,'Model Prices'!$A$5:$A$7,0))+(G8+H8)*INDEX('Model Prices'!$C$5:$C$7,MATCH(C8,'Model Prices'!$A$5:$A$7,0)))/1000000*IF(AND(Assumptions!$B$24="Yes",I8="Yes"),'Model Prices'!$B$9,1)</f>
        <v>0.0003172</v>
      </c>
      <c r="K8" s="40" t="n">
        <f aca="false">J8*D8</f>
        <v>0.0012688</v>
      </c>
      <c r="L8" s="40" t="n">
        <f aca="false">K8*Assumptions!$B$6</f>
        <v>0.0279136</v>
      </c>
      <c r="M8" s="40" t="n">
        <f aca="false">((E8*((1-Assumptions!$B$23)*INDEX('Model Prices'!$D$5:$D$7,MATCH("Claude Sonnet 5.5",'Model Prices'!$A$5:$A$7,0))+Assumptions!$B$23*'Model Prices'!$B$10*INDEX('Model Prices'!$B$5:$B$7,MATCH("Claude Sonnet 5.5",'Model Prices'!$A$5:$A$7,0)))+F8*INDEX('Model Prices'!$B$5:$B$7,MATCH("Claude Sonnet 5.5",'Model Prices'!$A$5:$A$7,0))+(G8+H8)*INDEX('Model Prices'!$C$5:$C$7,MATCH("Claude Sonnet 5.5",'Model Prices'!$A$5:$A$7,0)))/1000000*IF(AND(Assumptions!$B$24="Yes",I8="Yes"),'Model Prices'!$B$9,1))*D8*Assumptions!$B$6</f>
        <v>0.558272</v>
      </c>
      <c r="N8" s="40" t="n">
        <f aca="false">((E8*((1-Assumptions!$B$23)*INDEX('Model Prices'!$D$5:$D$7,MATCH("Claude Opus 5.5",'Model Prices'!$A$5:$A$7,0))+Assumptions!$B$23*'Model Prices'!$B$10*INDEX('Model Prices'!$B$5:$B$7,MATCH("Claude Opus 5.5",'Model Prices'!$A$5:$A$7,0)))+F8*INDEX('Model Prices'!$B$5:$B$7,MATCH("Claude Opus 5.5",'Model Prices'!$A$5:$A$7,0))+(G8+H8)*INDEX('Model Prices'!$C$5:$C$7,MATCH("Claude Opus 5.5",'Model Prices'!$A$5:$A$7,0)))/1000000*IF(AND(Assumptions!$B$24="Yes",I8="Yes"),'Model Prices'!$B$9,1))*D8*Assumptions!$B$6</f>
        <v>1.103872</v>
      </c>
      <c r="O8" s="40" t="n">
        <f aca="false">((E8*((1-Assumptions!$B$23)*INDEX('Model Prices'!$D$5:$D$7,MATCH("Claude Haiku 5.5",'Model Prices'!$A$5:$A$7,0))+Assumptions!$B$23*'Model Prices'!$B$10*INDEX('Model Prices'!$B$5:$B$7,MATCH("Claude Haiku 5.5",'Model Prices'!$A$5:$A$7,0)))+F8*INDEX('Model Prices'!$B$5:$B$7,MATCH("Claude Haiku 5.5",'Model Prices'!$A$5:$A$7,0))+(G8+H8)*INDEX('Model Prices'!$C$5:$C$7,MATCH("Claude Haiku 5.5",'Model Prices'!$A$5:$A$7,0)))/1000000*IF(AND(Assumptions!$B$24="Yes",I8="Yes"),'Model Prices'!$B$9,1))*D8*Assumptions!$B$6</f>
        <v>0.0279136</v>
      </c>
      <c r="P8" s="7" t="s">
        <v>160</v>
      </c>
    </row>
    <row r="9" customFormat="false" ht="39.75" hidden="false" customHeight="true" outlineLevel="0" collapsed="false">
      <c r="A9" s="31" t="s">
        <v>161</v>
      </c>
      <c r="B9" s="5" t="s">
        <v>159</v>
      </c>
      <c r="C9" s="36" t="s">
        <v>119</v>
      </c>
      <c r="D9" s="37" t="n">
        <f aca="false">Assumptions!$B$7*Assumptions!$B$14*(1+Assumptions!$B$15)</f>
        <v>18</v>
      </c>
      <c r="E9" s="22" t="n">
        <v>3000</v>
      </c>
      <c r="F9" s="38" t="n">
        <f aca="false">ROUND(Assumptions!$B$18*Assumptions!$B$19*Assumptions!$B$20,0)+Assumptions!$B$21+200</f>
        <v>1307</v>
      </c>
      <c r="G9" s="22" t="n">
        <v>300</v>
      </c>
      <c r="H9" s="22" t="n">
        <v>600</v>
      </c>
      <c r="I9" s="36" t="s">
        <v>94</v>
      </c>
      <c r="J9" s="39" t="n">
        <f aca="false">(E9*((1-Assumptions!$B$23)*INDEX('Model Prices'!$D$5:$D$7,MATCH(C9,'Model Prices'!$A$5:$A$7,0))+Assumptions!$B$23*'Model Prices'!$B$10*INDEX('Model Prices'!$B$5:$B$7,MATCH(C9,'Model Prices'!$A$5:$A$7,0)))+F9*INDEX('Model Prices'!$B$5:$B$7,MATCH(C9,'Model Prices'!$A$5:$A$7,0))+(G9+H9)*INDEX('Model Prices'!$C$5:$C$7,MATCH(C9,'Model Prices'!$A$5:$A$7,0)))/1000000*IF(AND(Assumptions!$B$24="Yes",I9="Yes"),'Model Prices'!$B$9,1)</f>
        <v>0.012904</v>
      </c>
      <c r="K9" s="40" t="n">
        <f aca="false">J9*D9</f>
        <v>0.232272</v>
      </c>
      <c r="L9" s="40" t="n">
        <f aca="false">K9*Assumptions!$B$6</f>
        <v>5.109984</v>
      </c>
      <c r="M9" s="40" t="n">
        <f aca="false">((E9*((1-Assumptions!$B$23)*INDEX('Model Prices'!$D$5:$D$7,MATCH("Claude Sonnet 5.5",'Model Prices'!$A$5:$A$7,0))+Assumptions!$B$23*'Model Prices'!$B$10*INDEX('Model Prices'!$B$5:$B$7,MATCH("Claude Sonnet 5.5",'Model Prices'!$A$5:$A$7,0)))+F9*INDEX('Model Prices'!$B$5:$B$7,MATCH("Claude Sonnet 5.5",'Model Prices'!$A$5:$A$7,0))+(G9+H9)*INDEX('Model Prices'!$C$5:$C$7,MATCH("Claude Sonnet 5.5",'Model Prices'!$A$5:$A$7,0)))/1000000*IF(AND(Assumptions!$B$24="Yes",I9="Yes"),'Model Prices'!$B$9,1))*D9*Assumptions!$B$6</f>
        <v>5.109984</v>
      </c>
      <c r="N9" s="40" t="n">
        <f aca="false">((E9*((1-Assumptions!$B$23)*INDEX('Model Prices'!$D$5:$D$7,MATCH("Claude Opus 5.5",'Model Prices'!$A$5:$A$7,0))+Assumptions!$B$23*'Model Prices'!$B$10*INDEX('Model Prices'!$B$5:$B$7,MATCH("Claude Opus 5.5",'Model Prices'!$A$5:$A$7,0)))+F9*INDEX('Model Prices'!$B$5:$B$7,MATCH("Claude Opus 5.5",'Model Prices'!$A$5:$A$7,0))+(G9+H9)*INDEX('Model Prices'!$C$5:$C$7,MATCH("Claude Opus 5.5",'Model Prices'!$A$5:$A$7,0)))/1000000*IF(AND(Assumptions!$B$24="Yes",I9="Yes"),'Model Prices'!$B$9,1))*D9*Assumptions!$B$6</f>
        <v>10.006128</v>
      </c>
      <c r="O9" s="40" t="n">
        <f aca="false">((E9*((1-Assumptions!$B$23)*INDEX('Model Prices'!$D$5:$D$7,MATCH("Claude Haiku 5.5",'Model Prices'!$A$5:$A$7,0))+Assumptions!$B$23*'Model Prices'!$B$10*INDEX('Model Prices'!$B$5:$B$7,MATCH("Claude Haiku 5.5",'Model Prices'!$A$5:$A$7,0)))+F9*INDEX('Model Prices'!$B$5:$B$7,MATCH("Claude Haiku 5.5",'Model Prices'!$A$5:$A$7,0))+(G9+H9)*INDEX('Model Prices'!$C$5:$C$7,MATCH("Claude Haiku 5.5",'Model Prices'!$A$5:$A$7,0)))/1000000*IF(AND(Assumptions!$B$24="Yes",I9="Yes"),'Model Prices'!$B$9,1))*D9*Assumptions!$B$6</f>
        <v>0.2554992</v>
      </c>
      <c r="P9" s="7" t="s">
        <v>162</v>
      </c>
    </row>
    <row r="10" customFormat="false" ht="39.75" hidden="false" customHeight="true" outlineLevel="0" collapsed="false">
      <c r="A10" s="31" t="s">
        <v>163</v>
      </c>
      <c r="B10" s="5" t="s">
        <v>164</v>
      </c>
      <c r="C10" s="36" t="s">
        <v>119</v>
      </c>
      <c r="D10" s="37" t="n">
        <f aca="false">Assumptions!$B$16/5</f>
        <v>4</v>
      </c>
      <c r="E10" s="22" t="n">
        <v>1500</v>
      </c>
      <c r="F10" s="22" t="n">
        <v>1200</v>
      </c>
      <c r="G10" s="22" t="n">
        <v>300</v>
      </c>
      <c r="H10" s="22" t="n">
        <v>400</v>
      </c>
      <c r="I10" s="36" t="s">
        <v>150</v>
      </c>
      <c r="J10" s="39" t="n">
        <f aca="false">(E10*((1-Assumptions!$B$23)*INDEX('Model Prices'!$D$5:$D$7,MATCH(C10,'Model Prices'!$A$5:$A$7,0))+Assumptions!$B$23*'Model Prices'!$B$10*INDEX('Model Prices'!$B$5:$B$7,MATCH(C10,'Model Prices'!$A$5:$A$7,0)))+F10*INDEX('Model Prices'!$B$5:$B$7,MATCH(C10,'Model Prices'!$A$5:$A$7,0))+(G10+H10)*INDEX('Model Prices'!$C$5:$C$7,MATCH(C10,'Model Prices'!$A$5:$A$7,0)))/1000000*IF(AND(Assumptions!$B$24="Yes",I10="Yes"),'Model Prices'!$B$9,1)</f>
        <v>0.010045</v>
      </c>
      <c r="K10" s="40" t="n">
        <f aca="false">J10*D10</f>
        <v>0.04018</v>
      </c>
      <c r="L10" s="40" t="n">
        <f aca="false">K10*Assumptions!$B$6</f>
        <v>0.88396</v>
      </c>
      <c r="M10" s="40" t="n">
        <f aca="false">((E10*((1-Assumptions!$B$23)*INDEX('Model Prices'!$D$5:$D$7,MATCH("Claude Sonnet 5.5",'Model Prices'!$A$5:$A$7,0))+Assumptions!$B$23*'Model Prices'!$B$10*INDEX('Model Prices'!$B$5:$B$7,MATCH("Claude Sonnet 5.5",'Model Prices'!$A$5:$A$7,0)))+F10*INDEX('Model Prices'!$B$5:$B$7,MATCH("Claude Sonnet 5.5",'Model Prices'!$A$5:$A$7,0))+(G10+H10)*INDEX('Model Prices'!$C$5:$C$7,MATCH("Claude Sonnet 5.5",'Model Prices'!$A$5:$A$7,0)))/1000000*IF(AND(Assumptions!$B$24="Yes",I10="Yes"),'Model Prices'!$B$9,1))*D10*Assumptions!$B$6</f>
        <v>0.88396</v>
      </c>
      <c r="N10" s="40" t="n">
        <f aca="false">((E10*((1-Assumptions!$B$23)*INDEX('Model Prices'!$D$5:$D$7,MATCH("Claude Opus 5.5",'Model Prices'!$A$5:$A$7,0))+Assumptions!$B$23*'Model Prices'!$B$10*INDEX('Model Prices'!$B$5:$B$7,MATCH("Claude Opus 5.5",'Model Prices'!$A$5:$A$7,0)))+F10*INDEX('Model Prices'!$B$5:$B$7,MATCH("Claude Opus 5.5",'Model Prices'!$A$5:$A$7,0))+(G10+H10)*INDEX('Model Prices'!$C$5:$C$7,MATCH("Claude Opus 5.5",'Model Prices'!$A$5:$A$7,0)))/1000000*IF(AND(Assumptions!$B$24="Yes",I10="Yes"),'Model Prices'!$B$9,1))*D10*Assumptions!$B$6</f>
        <v>1.74416</v>
      </c>
      <c r="O10" s="40" t="n">
        <f aca="false">((E10*((1-Assumptions!$B$23)*INDEX('Model Prices'!$D$5:$D$7,MATCH("Claude Haiku 5.5",'Model Prices'!$A$5:$A$7,0))+Assumptions!$B$23*'Model Prices'!$B$10*INDEX('Model Prices'!$B$5:$B$7,MATCH("Claude Haiku 5.5",'Model Prices'!$A$5:$A$7,0)))+F10*INDEX('Model Prices'!$B$5:$B$7,MATCH("Claude Haiku 5.5",'Model Prices'!$A$5:$A$7,0))+(G10+H10)*INDEX('Model Prices'!$C$5:$C$7,MATCH("Claude Haiku 5.5",'Model Prices'!$A$5:$A$7,0)))/1000000*IF(AND(Assumptions!$B$24="Yes",I10="Yes"),'Model Prices'!$B$9,1))*D10*Assumptions!$B$6</f>
        <v>0.044198</v>
      </c>
      <c r="P10" s="7" t="s">
        <v>165</v>
      </c>
    </row>
    <row r="11" customFormat="false" ht="15" hidden="false" customHeight="false" outlineLevel="0" collapsed="false">
      <c r="A11" s="31" t="s">
        <v>166</v>
      </c>
      <c r="B11" s="5"/>
      <c r="C11" s="5"/>
      <c r="D11" s="41" t="n">
        <f aca="false">SUM(D5:D10)</f>
        <v>101.6</v>
      </c>
      <c r="E11" s="5"/>
      <c r="F11" s="5"/>
      <c r="G11" s="5"/>
      <c r="H11" s="5"/>
      <c r="I11" s="5"/>
      <c r="J11" s="5"/>
      <c r="K11" s="42" t="n">
        <f aca="false">SUM(K5:K10)</f>
        <v>0.2945426</v>
      </c>
      <c r="L11" s="42" t="n">
        <f aca="false">SUM(L5:L10)</f>
        <v>6.4799372</v>
      </c>
      <c r="M11" s="42" t="n">
        <f aca="false">SUM(M5:M10)</f>
        <v>15.713808</v>
      </c>
      <c r="N11" s="42" t="n">
        <f aca="false">SUM(N5:N10)</f>
        <v>30.697392</v>
      </c>
      <c r="O11" s="42" t="n">
        <f aca="false">SUM(O5:O10)</f>
        <v>0.7856904</v>
      </c>
      <c r="P11" s="5" t="s">
        <v>167</v>
      </c>
    </row>
    <row r="13" customFormat="false" ht="15" hidden="false" customHeight="false" outlineLevel="0" collapsed="false">
      <c r="A13" s="31" t="s">
        <v>168</v>
      </c>
      <c r="D13" s="43" t="n">
        <f aca="false">SUMPRODUCT(D5:D10,E5:E10+F5:F10+G5:G10+H5:H10)*Assumptions!$B$6</f>
        <v>6803412</v>
      </c>
      <c r="E13" s="33" t="s">
        <v>169</v>
      </c>
    </row>
  </sheetData>
  <dataValidations count="2">
    <dataValidation allowBlank="false" errorStyle="stop" operator="between" showDropDown="false" showErrorMessage="false" showInputMessage="false" sqref="C5:C10" type="list">
      <formula1>'Model Prices'!$A$5:$A$7</formula1>
      <formula2>0</formula2>
    </dataValidation>
    <dataValidation allowBlank="false" errorStyle="stop" operator="between" showDropDown="false" showErrorMessage="false" showInputMessage="false" sqref="I5:I1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5"/>
    <col collapsed="false" customWidth="true" hidden="false" outlineLevel="0" max="4" min="4" style="0" width="85"/>
  </cols>
  <sheetData>
    <row r="1" customFormat="false" ht="17.35" hidden="false" customHeight="false" outlineLevel="0" collapsed="false">
      <c r="A1" s="1" t="s">
        <v>170</v>
      </c>
    </row>
    <row r="2" customFormat="false" ht="15" hidden="false" customHeight="false" outlineLevel="0" collapsed="false">
      <c r="A2" s="2" t="s">
        <v>171</v>
      </c>
    </row>
    <row r="4" customFormat="false" ht="15" hidden="false" customHeight="false" outlineLevel="0" collapsed="false">
      <c r="A4" s="4" t="s">
        <v>172</v>
      </c>
      <c r="B4" s="4" t="s">
        <v>173</v>
      </c>
      <c r="C4" s="4" t="s">
        <v>174</v>
      </c>
      <c r="D4" s="4" t="s">
        <v>175</v>
      </c>
    </row>
    <row r="5" customFormat="false" ht="15" hidden="false" customHeight="false" outlineLevel="0" collapsed="false">
      <c r="A5" s="20" t="s">
        <v>176</v>
      </c>
      <c r="B5" s="21"/>
      <c r="C5" s="21"/>
      <c r="D5" s="21"/>
    </row>
    <row r="6" customFormat="false" ht="23.85" hidden="false" customHeight="false" outlineLevel="0" collapsed="false">
      <c r="A6" s="7" t="s">
        <v>177</v>
      </c>
      <c r="B6" s="29" t="n">
        <v>25</v>
      </c>
      <c r="C6" s="29" t="n">
        <v>0</v>
      </c>
      <c r="D6" s="7" t="s">
        <v>178</v>
      </c>
    </row>
    <row r="7" customFormat="false" ht="15" hidden="false" customHeight="false" outlineLevel="0" collapsed="false">
      <c r="A7" s="7" t="s">
        <v>179</v>
      </c>
      <c r="B7" s="29" t="n">
        <v>25</v>
      </c>
      <c r="C7" s="29" t="n">
        <v>0</v>
      </c>
      <c r="D7" s="7" t="s">
        <v>180</v>
      </c>
    </row>
    <row r="8" customFormat="false" ht="15" hidden="false" customHeight="false" outlineLevel="0" collapsed="false">
      <c r="A8" s="7" t="s">
        <v>181</v>
      </c>
      <c r="B8" s="29" t="n">
        <v>0</v>
      </c>
      <c r="C8" s="29" t="n">
        <v>0</v>
      </c>
      <c r="D8" s="7" t="s">
        <v>182</v>
      </c>
    </row>
    <row r="9" customFormat="false" ht="15" hidden="false" customHeight="false" outlineLevel="0" collapsed="false">
      <c r="A9" s="7" t="s">
        <v>183</v>
      </c>
      <c r="B9" s="29" t="n">
        <v>0</v>
      </c>
      <c r="C9" s="29" t="n">
        <v>0</v>
      </c>
      <c r="D9" s="7" t="s">
        <v>184</v>
      </c>
    </row>
    <row r="10" customFormat="false" ht="15" hidden="false" customHeight="false" outlineLevel="0" collapsed="false">
      <c r="A10" s="7" t="s">
        <v>185</v>
      </c>
      <c r="B10" s="29" t="n">
        <v>15</v>
      </c>
      <c r="C10" s="29" t="n">
        <v>0</v>
      </c>
      <c r="D10" s="7" t="s">
        <v>186</v>
      </c>
    </row>
    <row r="11" customFormat="false" ht="15" hidden="false" customHeight="false" outlineLevel="0" collapsed="false">
      <c r="A11" s="7" t="s">
        <v>187</v>
      </c>
      <c r="B11" s="29" t="n">
        <v>15</v>
      </c>
      <c r="C11" s="29" t="n">
        <v>0</v>
      </c>
      <c r="D11" s="7" t="s">
        <v>188</v>
      </c>
    </row>
    <row r="12" customFormat="false" ht="15" hidden="false" customHeight="false" outlineLevel="0" collapsed="false">
      <c r="A12" s="7" t="s">
        <v>189</v>
      </c>
      <c r="B12" s="29" t="n">
        <v>5</v>
      </c>
      <c r="C12" s="29" t="n">
        <v>0</v>
      </c>
      <c r="D12" s="7" t="s">
        <v>190</v>
      </c>
    </row>
    <row r="13" customFormat="false" ht="15" hidden="false" customHeight="false" outlineLevel="0" collapsed="false">
      <c r="A13" s="20" t="s">
        <v>191</v>
      </c>
      <c r="B13" s="21"/>
      <c r="C13" s="21"/>
      <c r="D13" s="21"/>
    </row>
    <row r="14" customFormat="false" ht="15" hidden="false" customHeight="false" outlineLevel="0" collapsed="false">
      <c r="A14" s="7" t="s">
        <v>192</v>
      </c>
      <c r="B14" s="29" t="n">
        <v>0</v>
      </c>
      <c r="C14" s="9" t="n">
        <f aca="false">160*Assumptions!$B$27</f>
        <v>6400</v>
      </c>
      <c r="D14" s="7" t="s">
        <v>193</v>
      </c>
    </row>
    <row r="15" customFormat="false" ht="15" hidden="false" customHeight="false" outlineLevel="0" collapsed="false">
      <c r="A15" s="7" t="s">
        <v>194</v>
      </c>
      <c r="B15" s="29" t="n">
        <v>0</v>
      </c>
      <c r="C15" s="9" t="n">
        <f aca="false">20*Assumptions!$B$27</f>
        <v>800</v>
      </c>
      <c r="D15" s="7" t="s">
        <v>195</v>
      </c>
    </row>
    <row r="16" customFormat="false" ht="15" hidden="false" customHeight="false" outlineLevel="0" collapsed="false">
      <c r="A16" s="7" t="s">
        <v>196</v>
      </c>
      <c r="B16" s="9" t="n">
        <f aca="false">8*Assumptions!$B$27</f>
        <v>320</v>
      </c>
      <c r="C16" s="29" t="n">
        <v>0</v>
      </c>
      <c r="D16" s="7" t="s">
        <v>197</v>
      </c>
    </row>
    <row r="17" customFormat="false" ht="15" hidden="false" customHeight="false" outlineLevel="0" collapsed="false">
      <c r="A17" s="7" t="s">
        <v>198</v>
      </c>
      <c r="B17" s="9" t="n">
        <f aca="false">0.5*4.33*Assumptions!$B$29</f>
        <v>43.3</v>
      </c>
      <c r="C17" s="29" t="n">
        <v>0</v>
      </c>
      <c r="D17" s="7" t="s">
        <v>199</v>
      </c>
    </row>
    <row r="19" customFormat="false" ht="15" hidden="false" customHeight="false" outlineLevel="0" collapsed="false">
      <c r="A19" s="31" t="s">
        <v>200</v>
      </c>
      <c r="B19" s="44" t="n">
        <f aca="false">SUM(B6:B12)</f>
        <v>85</v>
      </c>
      <c r="C19" s="44" t="n">
        <f aca="false">SUM(C6:C12)</f>
        <v>0</v>
      </c>
      <c r="D19" s="5"/>
    </row>
    <row r="20" customFormat="false" ht="15" hidden="false" customHeight="false" outlineLevel="0" collapsed="false">
      <c r="A20" s="31" t="s">
        <v>201</v>
      </c>
      <c r="B20" s="44" t="n">
        <f aca="false">SUM(B14:B17)</f>
        <v>363.3</v>
      </c>
      <c r="C20" s="44" t="n">
        <f aca="false">SUM(C14:C17)</f>
        <v>7200</v>
      </c>
      <c r="D20" s="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16"/>
    <col collapsed="false" customWidth="true" hidden="false" outlineLevel="0" max="4" min="4" style="0" width="80"/>
  </cols>
  <sheetData>
    <row r="1" customFormat="false" ht="17.35" hidden="false" customHeight="false" outlineLevel="0" collapsed="false">
      <c r="A1" s="1" t="s">
        <v>202</v>
      </c>
    </row>
    <row r="2" customFormat="false" ht="15" hidden="false" customHeight="false" outlineLevel="0" collapsed="false">
      <c r="A2" s="2" t="s">
        <v>203</v>
      </c>
    </row>
    <row r="4" customFormat="false" ht="15" hidden="false" customHeight="false" outlineLevel="0" collapsed="false">
      <c r="A4" s="4" t="s">
        <v>172</v>
      </c>
      <c r="B4" s="4" t="s">
        <v>3</v>
      </c>
      <c r="C4" s="4" t="s">
        <v>42</v>
      </c>
      <c r="D4" s="4" t="s">
        <v>175</v>
      </c>
    </row>
    <row r="5" customFormat="false" ht="15" hidden="false" customHeight="false" outlineLevel="0" collapsed="false">
      <c r="A5" s="20" t="s">
        <v>204</v>
      </c>
      <c r="B5" s="21"/>
      <c r="C5" s="21"/>
      <c r="D5" s="21"/>
    </row>
    <row r="6" customFormat="false" ht="15" hidden="false" customHeight="false" outlineLevel="0" collapsed="false">
      <c r="A6" s="7" t="s">
        <v>205</v>
      </c>
      <c r="B6" s="26" t="n">
        <v>4.33</v>
      </c>
      <c r="C6" s="5" t="s">
        <v>206</v>
      </c>
      <c r="D6" s="7" t="s">
        <v>207</v>
      </c>
    </row>
    <row r="7" customFormat="false" ht="15" hidden="false" customHeight="false" outlineLevel="0" collapsed="false">
      <c r="A7" s="7" t="s">
        <v>208</v>
      </c>
      <c r="B7" s="27" t="n">
        <v>1.67</v>
      </c>
      <c r="C7" s="5" t="s">
        <v>209</v>
      </c>
      <c r="D7" s="7" t="s">
        <v>210</v>
      </c>
    </row>
    <row r="8" customFormat="false" ht="15" hidden="false" customHeight="false" outlineLevel="0" collapsed="false">
      <c r="A8" s="7" t="s">
        <v>211</v>
      </c>
      <c r="B8" s="22" t="n">
        <v>20</v>
      </c>
      <c r="C8" s="5" t="s">
        <v>212</v>
      </c>
      <c r="D8" s="7" t="s">
        <v>213</v>
      </c>
    </row>
    <row r="9" customFormat="false" ht="15" hidden="false" customHeight="false" outlineLevel="0" collapsed="false">
      <c r="A9" s="7" t="s">
        <v>214</v>
      </c>
      <c r="B9" s="22" t="n">
        <v>130</v>
      </c>
      <c r="C9" s="5" t="s">
        <v>215</v>
      </c>
      <c r="D9" s="7" t="s">
        <v>216</v>
      </c>
    </row>
    <row r="10" customFormat="false" ht="15" hidden="false" customHeight="false" outlineLevel="0" collapsed="false">
      <c r="A10" s="7" t="s">
        <v>217</v>
      </c>
      <c r="B10" s="24" t="n">
        <v>0.8</v>
      </c>
      <c r="C10" s="5" t="s">
        <v>218</v>
      </c>
      <c r="D10" s="7" t="s">
        <v>219</v>
      </c>
    </row>
    <row r="11" customFormat="false" ht="15" hidden="false" customHeight="false" outlineLevel="0" collapsed="false">
      <c r="A11" s="7" t="s">
        <v>220</v>
      </c>
      <c r="B11" s="29" t="n">
        <v>200000</v>
      </c>
      <c r="C11" s="5" t="s">
        <v>221</v>
      </c>
      <c r="D11" s="7" t="s">
        <v>222</v>
      </c>
    </row>
    <row r="12" customFormat="false" ht="15" hidden="false" customHeight="false" outlineLevel="0" collapsed="false">
      <c r="A12" s="7" t="s">
        <v>223</v>
      </c>
      <c r="B12" s="24" t="n">
        <v>0.25</v>
      </c>
      <c r="C12" s="5" t="s">
        <v>218</v>
      </c>
      <c r="D12" s="7" t="s">
        <v>107</v>
      </c>
    </row>
    <row r="13" customFormat="false" ht="15" hidden="false" customHeight="false" outlineLevel="0" collapsed="false">
      <c r="A13" s="7" t="s">
        <v>224</v>
      </c>
      <c r="B13" s="24" t="n">
        <v>0.4</v>
      </c>
      <c r="C13" s="5" t="s">
        <v>218</v>
      </c>
      <c r="D13" s="7" t="s">
        <v>107</v>
      </c>
    </row>
    <row r="14" customFormat="false" ht="15" hidden="false" customHeight="false" outlineLevel="0" collapsed="false">
      <c r="A14" s="20" t="s">
        <v>225</v>
      </c>
      <c r="B14" s="21"/>
      <c r="C14" s="21"/>
      <c r="D14" s="21"/>
    </row>
    <row r="15" customFormat="false" ht="15" hidden="false" customHeight="false" outlineLevel="0" collapsed="false">
      <c r="A15" s="7" t="s">
        <v>226</v>
      </c>
      <c r="B15" s="9" t="n">
        <f aca="false">B6*B7*Assumptions!$B$29</f>
        <v>144.622</v>
      </c>
      <c r="C15" s="5" t="s">
        <v>98</v>
      </c>
      <c r="D15" s="7" t="s">
        <v>227</v>
      </c>
    </row>
    <row r="16" customFormat="false" ht="15" hidden="false" customHeight="false" outlineLevel="0" collapsed="false">
      <c r="A16" s="7" t="s">
        <v>228</v>
      </c>
      <c r="B16" s="9" t="n">
        <f aca="false">B8/60*Assumptions!$B$6*Assumptions!$B$7*Assumptions!$B$28</f>
        <v>1100</v>
      </c>
      <c r="C16" s="5" t="s">
        <v>98</v>
      </c>
      <c r="D16" s="7" t="s">
        <v>229</v>
      </c>
    </row>
    <row r="17" customFormat="false" ht="15" hidden="false" customHeight="false" outlineLevel="0" collapsed="false">
      <c r="A17" s="7" t="s">
        <v>230</v>
      </c>
      <c r="B17" s="9" t="n">
        <f aca="false">B15+B16</f>
        <v>1244.622</v>
      </c>
      <c r="C17" s="5" t="s">
        <v>98</v>
      </c>
      <c r="D17" s="7"/>
    </row>
    <row r="18" customFormat="false" ht="15" hidden="false" customHeight="false" outlineLevel="0" collapsed="false">
      <c r="A18" s="7" t="s">
        <v>231</v>
      </c>
      <c r="B18" s="8" t="n">
        <f aca="false">Summary!$C$9</f>
        <v>454.7799372</v>
      </c>
      <c r="C18" s="5" t="s">
        <v>98</v>
      </c>
      <c r="D18" s="7" t="s">
        <v>232</v>
      </c>
    </row>
    <row r="19" customFormat="false" ht="15" hidden="false" customHeight="false" outlineLevel="0" collapsed="false">
      <c r="A19" s="7" t="s">
        <v>233</v>
      </c>
      <c r="B19" s="9" t="n">
        <f aca="false">B17-B18</f>
        <v>789.8420628</v>
      </c>
      <c r="C19" s="5" t="s">
        <v>98</v>
      </c>
      <c r="D19" s="7"/>
    </row>
    <row r="20" customFormat="false" ht="15" hidden="false" customHeight="false" outlineLevel="0" collapsed="false">
      <c r="A20" s="7" t="s">
        <v>234</v>
      </c>
      <c r="B20" s="37" t="n">
        <f aca="false">IF(B19&gt;0,Infrastructure!$C$20/B19,"n/a")</f>
        <v>9.11574647528382</v>
      </c>
      <c r="C20" s="5" t="s">
        <v>235</v>
      </c>
      <c r="D20" s="7" t="s">
        <v>236</v>
      </c>
    </row>
    <row r="21" customFormat="false" ht="15" hidden="false" customHeight="false" outlineLevel="0" collapsed="false">
      <c r="A21" s="7" t="s">
        <v>237</v>
      </c>
      <c r="B21" s="9" t="n">
        <f aca="false">B11*B12*B13</f>
        <v>20000</v>
      </c>
      <c r="C21" s="5" t="s">
        <v>221</v>
      </c>
      <c r="D21" s="7" t="s">
        <v>238</v>
      </c>
    </row>
    <row r="22" customFormat="false" ht="15" hidden="false" customHeight="false" outlineLevel="0" collapsed="false">
      <c r="A22" s="7" t="s">
        <v>239</v>
      </c>
      <c r="B22" s="40" t="n">
        <f aca="false">IF(B9*B10&gt;0,B18/(B9*B10),0)</f>
        <v>4.37288401153846</v>
      </c>
      <c r="C22" s="5" t="s">
        <v>221</v>
      </c>
      <c r="D22" s="7" t="s">
        <v>240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6" min="3" style="0" width="18"/>
  </cols>
  <sheetData>
    <row r="1" customFormat="false" ht="17.35" hidden="false" customHeight="false" outlineLevel="0" collapsed="false">
      <c r="A1" s="1" t="s">
        <v>241</v>
      </c>
    </row>
    <row r="2" customFormat="false" ht="15" hidden="false" customHeight="false" outlineLevel="0" collapsed="false">
      <c r="A2" s="2" t="s">
        <v>242</v>
      </c>
    </row>
    <row r="4" customFormat="false" ht="15" hidden="false" customHeight="false" outlineLevel="0" collapsed="false">
      <c r="A4" s="4" t="s">
        <v>243</v>
      </c>
      <c r="B4" s="4" t="s">
        <v>244</v>
      </c>
      <c r="C4" s="4" t="s">
        <v>245</v>
      </c>
      <c r="D4" s="4" t="s">
        <v>246</v>
      </c>
      <c r="E4" s="4" t="s">
        <v>247</v>
      </c>
      <c r="F4" s="4" t="s">
        <v>248</v>
      </c>
    </row>
    <row r="5" customFormat="false" ht="15" hidden="false" customHeight="false" outlineLevel="0" collapsed="false">
      <c r="A5" s="31" t="s">
        <v>249</v>
      </c>
      <c r="B5" s="45" t="n">
        <v>0.5</v>
      </c>
      <c r="C5" s="6" t="n">
        <f aca="false">'Token Usage'!$L$11*B5</f>
        <v>3.2399686</v>
      </c>
      <c r="D5" s="40" t="n">
        <f aca="false">('Token Usage'!$L$11-(SUMPRODUCT(('Token Usage'!I5:I10="Yes")*'Token Usage'!L5:L10)*IF(Assumptions!$B$24="Yes",0,1-'Model Prices'!$B$9)))*B5</f>
        <v>2.9044587</v>
      </c>
      <c r="E5" s="6" t="n">
        <f aca="false">'Token Usage'!$M$11*B5</f>
        <v>7.856904</v>
      </c>
      <c r="F5" s="6" t="n">
        <f aca="false">'Token Usage'!$N$11*B5</f>
        <v>15.348696</v>
      </c>
    </row>
    <row r="6" customFormat="false" ht="15" hidden="false" customHeight="false" outlineLevel="0" collapsed="false">
      <c r="A6" s="31" t="s">
        <v>250</v>
      </c>
      <c r="B6" s="45" t="n">
        <v>1</v>
      </c>
      <c r="C6" s="6" t="n">
        <f aca="false">'Token Usage'!$L$11*B6</f>
        <v>6.4799372</v>
      </c>
      <c r="D6" s="40" t="n">
        <f aca="false">('Token Usage'!$L$11-(SUMPRODUCT(('Token Usage'!I5:I10="Yes")*'Token Usage'!L5:L10)*IF(Assumptions!$B$24="Yes",0,1-'Model Prices'!$B$9)))*B6</f>
        <v>5.8089174</v>
      </c>
      <c r="E6" s="6" t="n">
        <f aca="false">'Token Usage'!$M$11*B6</f>
        <v>15.713808</v>
      </c>
      <c r="F6" s="6" t="n">
        <f aca="false">'Token Usage'!$N$11*B6</f>
        <v>30.697392</v>
      </c>
    </row>
    <row r="7" customFormat="false" ht="15" hidden="false" customHeight="false" outlineLevel="0" collapsed="false">
      <c r="A7" s="31" t="s">
        <v>251</v>
      </c>
      <c r="B7" s="45" t="n">
        <v>3</v>
      </c>
      <c r="C7" s="6" t="n">
        <f aca="false">'Token Usage'!$L$11*B7</f>
        <v>19.4398116</v>
      </c>
      <c r="D7" s="40" t="n">
        <f aca="false">('Token Usage'!$L$11-(SUMPRODUCT(('Token Usage'!I5:I10="Yes")*'Token Usage'!L5:L10)*IF(Assumptions!$B$24="Yes",0,1-'Model Prices'!$B$9)))*B7</f>
        <v>17.4267522</v>
      </c>
      <c r="E7" s="6" t="n">
        <f aca="false">'Token Usage'!$M$11*B7</f>
        <v>47.141424</v>
      </c>
      <c r="F7" s="6" t="n">
        <f aca="false">'Token Usage'!$N$11*B7</f>
        <v>92.092176</v>
      </c>
    </row>
    <row r="9" customFormat="false" ht="15" hidden="false" customHeight="false" outlineLevel="0" collapsed="false">
      <c r="A9" s="31" t="s">
        <v>252</v>
      </c>
    </row>
    <row r="10" customFormat="false" ht="30" hidden="false" customHeight="true" outlineLevel="0" collapsed="false">
      <c r="A10" s="18" t="s">
        <v>253</v>
      </c>
      <c r="B10" s="18"/>
      <c r="C10" s="18"/>
      <c r="D10" s="18"/>
      <c r="E10" s="18"/>
      <c r="F10" s="18"/>
    </row>
    <row r="11" customFormat="false" ht="15" hidden="false" customHeight="false" outlineLevel="0" collapsed="false">
      <c r="A11" s="18"/>
      <c r="B11" s="18"/>
      <c r="C11" s="18"/>
      <c r="D11" s="18"/>
      <c r="E11" s="18"/>
      <c r="F11" s="18"/>
    </row>
    <row r="13" customFormat="false" ht="23.85" hidden="false" customHeight="false" outlineLevel="0" collapsed="false">
      <c r="A13" s="4" t="s">
        <v>254</v>
      </c>
      <c r="B13" s="4" t="s">
        <v>255</v>
      </c>
      <c r="C13" s="4" t="s">
        <v>256</v>
      </c>
      <c r="D13" s="4" t="s">
        <v>257</v>
      </c>
      <c r="E13" s="4" t="s">
        <v>166</v>
      </c>
      <c r="F13" s="4" t="s">
        <v>258</v>
      </c>
    </row>
    <row r="14" customFormat="false" ht="15" hidden="false" customHeight="false" outlineLevel="0" collapsed="false">
      <c r="A14" s="31" t="s">
        <v>245</v>
      </c>
      <c r="B14" s="40" t="n">
        <f aca="false">C6</f>
        <v>6.4799372</v>
      </c>
      <c r="C14" s="8" t="n">
        <f aca="false">Infrastructure!$B$19</f>
        <v>85</v>
      </c>
      <c r="D14" s="8" t="n">
        <f aca="false">Infrastructure!$B$20</f>
        <v>363.3</v>
      </c>
      <c r="E14" s="44" t="n">
        <f aca="false">SUM(B14:D14)</f>
        <v>454.7799372</v>
      </c>
      <c r="F14" s="15" t="n">
        <f aca="false">IF(E14&gt;0,B14/E14,0)</f>
        <v>0.0142485115766008</v>
      </c>
    </row>
    <row r="15" customFormat="false" ht="15" hidden="false" customHeight="false" outlineLevel="0" collapsed="false">
      <c r="A15" s="31" t="s">
        <v>246</v>
      </c>
      <c r="B15" s="40" t="n">
        <f aca="false">D6</f>
        <v>5.8089174</v>
      </c>
      <c r="C15" s="8" t="n">
        <f aca="false">Infrastructure!$B$19</f>
        <v>85</v>
      </c>
      <c r="D15" s="8" t="n">
        <f aca="false">Infrastructure!$B$20</f>
        <v>363.3</v>
      </c>
      <c r="E15" s="44" t="n">
        <f aca="false">SUM(B15:D15)</f>
        <v>454.1089174</v>
      </c>
      <c r="F15" s="15" t="n">
        <f aca="false">IF(E15&gt;0,B15/E15,0)</f>
        <v>0.0127919033901799</v>
      </c>
    </row>
    <row r="16" customFormat="false" ht="15" hidden="false" customHeight="false" outlineLevel="0" collapsed="false">
      <c r="A16" s="31" t="s">
        <v>247</v>
      </c>
      <c r="B16" s="40" t="n">
        <f aca="false">E6</f>
        <v>15.713808</v>
      </c>
      <c r="C16" s="8" t="n">
        <f aca="false">Infrastructure!$B$19</f>
        <v>85</v>
      </c>
      <c r="D16" s="8" t="n">
        <f aca="false">Infrastructure!$B$20</f>
        <v>363.3</v>
      </c>
      <c r="E16" s="44" t="n">
        <f aca="false">SUM(B16:D16)</f>
        <v>464.013808</v>
      </c>
      <c r="F16" s="15" t="n">
        <f aca="false">IF(E16&gt;0,B16/E16,0)</f>
        <v>0.0338649577428092</v>
      </c>
    </row>
    <row r="17" customFormat="false" ht="15" hidden="false" customHeight="false" outlineLevel="0" collapsed="false">
      <c r="A17" s="31" t="s">
        <v>248</v>
      </c>
      <c r="B17" s="40" t="n">
        <f aca="false">F6</f>
        <v>30.697392</v>
      </c>
      <c r="C17" s="8" t="n">
        <f aca="false">Infrastructure!$B$19</f>
        <v>85</v>
      </c>
      <c r="D17" s="8" t="n">
        <f aca="false">Infrastructure!$B$20</f>
        <v>363.3</v>
      </c>
      <c r="E17" s="44" t="n">
        <f aca="false">SUM(B17:D17)</f>
        <v>478.997392</v>
      </c>
      <c r="F17" s="15" t="n">
        <f aca="false">IF(E17&gt;0,B17/E17,0)</f>
        <v>0.0640867622928519</v>
      </c>
    </row>
  </sheetData>
  <mergeCells count="1">
    <mergeCell ref="A10:F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8"/>
    <col collapsed="false" customWidth="true" hidden="false" outlineLevel="0" max="3" min="3" style="0" width="62"/>
  </cols>
  <sheetData>
    <row r="1" customFormat="false" ht="17.35" hidden="false" customHeight="false" outlineLevel="0" collapsed="false">
      <c r="A1" s="1" t="s">
        <v>259</v>
      </c>
    </row>
    <row r="2" customFormat="false" ht="15" hidden="false" customHeight="false" outlineLevel="0" collapsed="false">
      <c r="A2" s="2" t="s">
        <v>260</v>
      </c>
    </row>
    <row r="4" customFormat="false" ht="15" hidden="false" customHeight="false" outlineLevel="0" collapsed="false">
      <c r="A4" s="4" t="s">
        <v>261</v>
      </c>
      <c r="B4" s="4" t="s">
        <v>262</v>
      </c>
      <c r="C4" s="4" t="s">
        <v>263</v>
      </c>
    </row>
    <row r="5" customFormat="false" ht="30" hidden="false" customHeight="true" outlineLevel="0" collapsed="false">
      <c r="A5" s="46" t="s">
        <v>264</v>
      </c>
      <c r="B5" s="7" t="str">
        <f aca="false">"Reading tasks cost "&amp;TEXT(SUM('Token Usage'!L5:L7),"$0.00")&amp;" a month on Haiku vs "&amp;TEXT(SUM('Token Usage'!N5:N7),"$0.00")&amp;" on Opus 5.5"</f>
        <v>Reading tasks cost $0.46 a month on Haiku vs $17.84 on Opus 5.5</v>
      </c>
      <c r="C5" s="7" t="s">
        <v>265</v>
      </c>
    </row>
    <row r="6" customFormat="false" ht="30" hidden="false" customHeight="true" outlineLevel="0" collapsed="false">
      <c r="A6" s="46" t="s">
        <v>266</v>
      </c>
      <c r="B6" s="7" t="str">
        <f aca="false">"Drafts are "&amp;TEXT('Token Usage'!L9/'Token Usage'!L11,"0%")&amp;" of the AI bill, so this is where a stronger model is worth paying for"</f>
        <v>Drafts are 79% of the AI bill, so this is where a stronger model is worth paying for</v>
      </c>
      <c r="C6" s="7" t="s">
        <v>267</v>
      </c>
    </row>
    <row r="7" customFormat="false" ht="30" hidden="false" customHeight="true" outlineLevel="0" collapsed="false">
      <c r="A7" s="46" t="s">
        <v>268</v>
      </c>
      <c r="B7" s="7" t="str">
        <f aca="false">"$0 in tokens"</f>
        <v>$0 in tokens</v>
      </c>
      <c r="C7" s="7" t="s">
        <v>269</v>
      </c>
    </row>
    <row r="8" customFormat="false" ht="30" hidden="false" customHeight="true" outlineLevel="0" collapsed="false">
      <c r="A8" s="46" t="s">
        <v>270</v>
      </c>
      <c r="B8" s="7" t="str">
        <f aca="false">"Removes "&amp;TEXT(Assumptions!$B$11,"0%")&amp;" of items before they cost anything"</f>
        <v>Removes 25% of items before they cost anything</v>
      </c>
      <c r="C8" s="7" t="s">
        <v>271</v>
      </c>
    </row>
    <row r="9" customFormat="false" ht="30" hidden="false" customHeight="true" outlineLevel="0" collapsed="false">
      <c r="A9" s="46" t="s">
        <v>272</v>
      </c>
      <c r="B9" s="7" t="str">
        <f aca="false">"Cached tokens are billed at about 10% of the normal input price"</f>
        <v>Cached tokens are billed at about 10% of the normal input price</v>
      </c>
      <c r="C9" s="7" t="s">
        <v>273</v>
      </c>
    </row>
    <row r="10" customFormat="false" ht="30" hidden="false" customHeight="true" outlineLevel="0" collapsed="false">
      <c r="A10" s="46" t="s">
        <v>274</v>
      </c>
      <c r="B10" s="7" t="str">
        <f aca="false">"Limits drafts to "&amp;TEXT('Token Usage'!D9,"0")&amp;" a day across the team"</f>
        <v>Limits drafts to 18 a day across the team</v>
      </c>
      <c r="C10" s="7" t="s">
        <v>275</v>
      </c>
    </row>
    <row r="11" customFormat="false" ht="30" hidden="false" customHeight="true" outlineLevel="0" collapsed="false">
      <c r="A11" s="46" t="s">
        <v>276</v>
      </c>
      <c r="B11" s="7" t="str">
        <f aca="false">"Judge costs "&amp;TEXT('Token Usage'!L10,"$0.00")&amp;" a month"</f>
        <v>Judge costs $0.88 a month</v>
      </c>
      <c r="C11" s="7" t="s">
        <v>277</v>
      </c>
    </row>
    <row r="12" customFormat="false" ht="30" hidden="false" customHeight="true" outlineLevel="0" collapsed="false">
      <c r="A12" s="46" t="s">
        <v>278</v>
      </c>
      <c r="B12" s="7" t="str">
        <f aca="false">"Avoids audio transcription and per-meeting bot costs"</f>
        <v>Avoids audio transcription and per-meeting bot costs</v>
      </c>
      <c r="C12" s="7" t="s">
        <v>279</v>
      </c>
    </row>
    <row r="13" customFormat="false" ht="30" hidden="false" customHeight="true" outlineLevel="0" collapsed="false">
      <c r="A13" s="46" t="s">
        <v>280</v>
      </c>
      <c r="B13" s="7" t="str">
        <f aca="false">"Turning it on saves about "&amp;TEXT(Scenarios!C6-Scenarios!D6,"$0.00")&amp;" a month"</f>
        <v>Turning it on saves about $0.67 a month</v>
      </c>
      <c r="C13" s="7" t="s">
        <v>281</v>
      </c>
    </row>
    <row r="14" customFormat="false" ht="30" hidden="false" customHeight="true" outlineLevel="0" collapsed="false">
      <c r="A14" s="46" t="s">
        <v>282</v>
      </c>
      <c r="B14" s="7" t="str">
        <f aca="false">"Alert fires above "&amp;TEXT(Assumptions!$B$25,"$0")&amp;" a month"</f>
        <v>Alert fires above $50 a month</v>
      </c>
      <c r="C14" s="7" t="s">
        <v>283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2026-10-08T00:36:06Z</dcterms:created>
  <dc:creator>openpyxl</dc:creator>
  <dc:description/>
  <dc:language>en-US</dc:language>
  <cp:lastModifiedBy/>
  <dcterms:modified xsi:type="dcterms:W3CDTF">2026-10-08T00:36:06Z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